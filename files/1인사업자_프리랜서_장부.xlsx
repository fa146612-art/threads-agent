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시작하기" sheetId="1" state="visible" r:id="rId1"/>
    <sheet xmlns:r="http://schemas.openxmlformats.org/officeDocument/2006/relationships" name="기본설정" sheetId="2" state="visible" r:id="rId2"/>
    <sheet xmlns:r="http://schemas.openxmlformats.org/officeDocument/2006/relationships" name="매출" sheetId="3" state="visible" r:id="rId3"/>
    <sheet xmlns:r="http://schemas.openxmlformats.org/officeDocument/2006/relationships" name="비용" sheetId="4" state="visible" r:id="rId4"/>
    <sheet xmlns:r="http://schemas.openxmlformats.org/officeDocument/2006/relationships" name="손익계산" sheetId="5" state="visible" r:id="rId5"/>
    <sheet xmlns:r="http://schemas.openxmlformats.org/officeDocument/2006/relationships" name="대시보드" sheetId="6" state="visible" r:id="rId6"/>
    <sheet xmlns:r="http://schemas.openxmlformats.org/officeDocument/2006/relationships" name="세금요약" sheetId="7" state="visible" r:id="rId7"/>
    <sheet xmlns:r="http://schemas.openxmlformats.org/officeDocument/2006/relationships" name="거래처"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quot;원&quot;;[Red]-#,##0&quot;원&quot;;&quot;-&quot;"/>
    <numFmt numFmtId="166" formatCode="yyyy-mm-dd"/>
  </numFmts>
  <fonts count="14">
    <font>
      <name val="Calibri"/>
      <family val="2"/>
      <color theme="1"/>
      <sz val="11"/>
      <scheme val="minor"/>
    </font>
    <font>
      <name val="맑은 고딕"/>
      <b val="1"/>
      <color rgb="002E4A6B"/>
      <sz val="18"/>
    </font>
    <font>
      <name val="맑은 고딕"/>
      <i val="1"/>
      <color rgb="006B7684"/>
      <sz val="9"/>
    </font>
    <font>
      <name val="맑은 고딕"/>
      <b val="1"/>
      <color rgb="00FFFFFF"/>
      <sz val="11"/>
    </font>
    <font>
      <name val="맑은 고딕"/>
      <color rgb="006B7684"/>
      <sz val="10"/>
    </font>
    <font>
      <name val="맑은 고딕"/>
      <b val="1"/>
      <color rgb="001F2933"/>
      <sz val="10"/>
    </font>
    <font>
      <name val="맑은 고딕"/>
      <color rgb="001F2933"/>
      <sz val="10"/>
    </font>
    <font>
      <name val="맑은 고딕"/>
      <color rgb="000000FF"/>
      <sz val="10"/>
    </font>
    <font>
      <name val="맑은 고딕"/>
      <color rgb="006B7684"/>
      <sz val="9"/>
    </font>
    <font>
      <name val="맑은 고딕"/>
      <b val="1"/>
      <color rgb="002E4A6B"/>
      <sz val="10"/>
    </font>
    <font>
      <name val="맑은 고딕"/>
      <b val="1"/>
      <color rgb="002E4A6B"/>
      <sz val="9"/>
    </font>
    <font>
      <name val="맑은 고딕"/>
      <b val="1"/>
      <color rgb="006B7684"/>
      <sz val="10"/>
    </font>
    <font>
      <name val="맑은 고딕"/>
      <b val="1"/>
      <color rgb="002E4A6B"/>
      <sz val="20"/>
    </font>
    <font>
      <name val="맑은 고딕"/>
      <b val="1"/>
      <color rgb="00C1743F"/>
      <sz val="20"/>
    </font>
  </fonts>
  <fills count="5">
    <fill>
      <patternFill/>
    </fill>
    <fill>
      <patternFill patternType="gray125"/>
    </fill>
    <fill>
      <patternFill patternType="solid">
        <fgColor rgb="002E4A6B"/>
      </patternFill>
    </fill>
    <fill>
      <patternFill patternType="solid">
        <fgColor rgb="00FFF9E6"/>
      </patternFill>
    </fill>
    <fill>
      <patternFill patternType="solid">
        <fgColor rgb="00E3EAF2"/>
      </patternFill>
    </fill>
  </fills>
  <borders count="2">
    <border>
      <left/>
      <right/>
      <top/>
      <bottom/>
      <diagonal/>
    </border>
    <border>
      <left style="thin">
        <color rgb="00D9D2C7"/>
      </left>
      <right style="thin">
        <color rgb="00D9D2C7"/>
      </right>
      <top style="thin">
        <color rgb="00D9D2C7"/>
      </top>
      <bottom style="thin">
        <color rgb="00D9D2C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7" fillId="3" borderId="1" pivotButton="0" quotePrefix="0" xfId="0"/>
    <xf numFmtId="0" fontId="8" fillId="0" borderId="0" pivotButton="0" quotePrefix="0" xfId="0"/>
    <xf numFmtId="164" fontId="7" fillId="3" borderId="1" pivotButton="0" quotePrefix="0" xfId="0"/>
    <xf numFmtId="165" fontId="7" fillId="3" borderId="1" pivotButton="0" quotePrefix="0" xfId="0"/>
    <xf numFmtId="0" fontId="10" fillId="4" borderId="1" applyAlignment="1" pivotButton="0" quotePrefix="0" xfId="0">
      <alignment horizontal="center" vertical="center" wrapText="1"/>
    </xf>
    <xf numFmtId="166" fontId="7" fillId="3" borderId="1" pivotButton="0" quotePrefix="0" xfId="0"/>
    <xf numFmtId="165" fontId="6" fillId="0" borderId="1" pivotButton="0" quotePrefix="0" xfId="0"/>
    <xf numFmtId="165" fontId="5" fillId="0" borderId="1" pivotButton="0" quotePrefix="0" xfId="0"/>
    <xf numFmtId="164" fontId="6" fillId="0" borderId="1" pivotButton="0" quotePrefix="0" xfId="0"/>
    <xf numFmtId="164" fontId="5" fillId="0" borderId="1" pivotButton="0" quotePrefix="0" xfId="0"/>
    <xf numFmtId="0" fontId="6" fillId="0" borderId="1" pivotButton="0" quotePrefix="0" xfId="0"/>
    <xf numFmtId="0" fontId="11" fillId="0" borderId="0" pivotButton="0" quotePrefix="0" xfId="0"/>
    <xf numFmtId="165" fontId="12" fillId="0" borderId="0" pivotButton="0" quotePrefix="0" xfId="0"/>
    <xf numFmtId="165" fontId="13" fillId="0" borderId="0" pivotButton="0" quotePrefix="0" xfId="0"/>
    <xf numFmtId="164" fontId="12" fillId="0" borderId="0" pivotButton="0" quotePrefix="0" xfId="0"/>
    <xf numFmtId="0" fontId="5" fillId="0" borderId="1" pivotButton="0" quotePrefix="0" xfId="0"/>
  </cellXfs>
  <cellStyles count="1">
    <cellStyle name="Normal" xfId="0" builtinId="0" hidden="0"/>
  </cellStyles>
  <dxfs count="2">
    <dxf>
      <font>
        <name val="맑은 고딕"/>
        <b val="1"/>
        <color rgb="000E9F6E"/>
        <sz val="10"/>
      </font>
    </dxf>
    <dxf>
      <font>
        <name val="맑은 고딕"/>
        <b val="1"/>
        <color rgb="00D64545"/>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3" customWidth="1" min="1" max="1"/>
    <col width="26" customWidth="1" min="2" max="2"/>
    <col width="88" customWidth="1" min="3" max="3"/>
  </cols>
  <sheetData>
    <row r="2" ht="28" customHeight="1">
      <c r="B2" s="1" t="inlineStr">
        <is>
          <t>1인 사업자 · 프리랜서 장부</t>
        </is>
      </c>
    </row>
    <row r="3">
      <c r="B3" s="2" t="inlineStr">
        <is>
          <t>매출과 비용만 넣으면 손익 · 부가세 · 종합소득세가 자동으로 나옵니다.</t>
        </is>
      </c>
    </row>
    <row r="4" ht="8" customHeight="1"/>
    <row r="6" ht="20" customHeight="1">
      <c r="B6" s="3" t="inlineStr">
        <is>
          <t>이 파일이 하는 일</t>
        </is>
      </c>
      <c r="C6" s="3" t="n"/>
    </row>
    <row r="7">
      <c r="C7" s="4" t="inlineStr">
        <is>
          <t>입력하는 곳은 [매출]과 [비용] 두 군데뿐입니다. 나머지는 전부 계산됩니다.</t>
        </is>
      </c>
    </row>
    <row r="8">
      <c r="C8" s="4" t="inlineStr">
        <is>
          <t>회계 지식이 없어도 됩니다. 월 구독료도 없습니다. 데이터는 본인 컴퓨터에만 남습니다.</t>
        </is>
      </c>
    </row>
    <row r="9" ht="20" customHeight="1">
      <c r="B9" s="3" t="inlineStr">
        <is>
          <t>시트 구성</t>
        </is>
      </c>
      <c r="C9" s="3" t="n"/>
    </row>
    <row r="10">
      <c r="B10" s="5" t="inlineStr">
        <is>
          <t>1. 기본설정</t>
        </is>
      </c>
      <c r="C10" s="6" t="inlineStr">
        <is>
          <t>상호, 과세 유형(일반/간이), 업종, 카테고리 목록. 처음 한 번 5분.</t>
        </is>
      </c>
    </row>
    <row r="11">
      <c r="B11" s="5" t="inlineStr">
        <is>
          <t>2. 매출</t>
        </is>
      </c>
      <c r="C11" s="6" t="inlineStr">
        <is>
          <t>받은 돈을 기록합니다. 프리랜서는 3.3% 원천징수 여부를 체크하면 자동 반영됩니다.</t>
        </is>
      </c>
    </row>
    <row r="12">
      <c r="B12" s="5" t="inlineStr">
        <is>
          <t>3. 비용</t>
        </is>
      </c>
      <c r="C12" s="6" t="inlineStr">
        <is>
          <t>쓴 돈을 기록합니다. 경비 인정 여부와 매입세액 공제 여부를 표시합니다.</t>
        </is>
      </c>
    </row>
    <row r="13">
      <c r="B13" s="5" t="inlineStr">
        <is>
          <t>4. 대시보드</t>
        </is>
      </c>
      <c r="C13" s="6" t="inlineStr">
        <is>
          <t>이번 달 매출·비용·순이익·이익률. 월을 바꿔가며 볼 수 있습니다.</t>
        </is>
      </c>
    </row>
    <row r="14">
      <c r="B14" s="5" t="inlineStr">
        <is>
          <t>5. 손익계산</t>
        </is>
      </c>
      <c r="C14" s="6" t="inlineStr">
        <is>
          <t>12개월 전체와 연간 합계. 그대로 손익계산서로 씁니다.</t>
        </is>
      </c>
    </row>
    <row r="15">
      <c r="B15" s="5" t="inlineStr">
        <is>
          <t>6. 세금요약</t>
        </is>
      </c>
      <c r="C15" s="6" t="inlineStr">
        <is>
          <t>부가세 예상액, 종합소득세 예상액, 원천징수 정산 예상, 신고 일정.</t>
        </is>
      </c>
    </row>
    <row r="16">
      <c r="B16" s="5" t="inlineStr">
        <is>
          <t>7. 거래처</t>
        </is>
      </c>
      <c r="C16" s="6" t="inlineStr">
        <is>
          <t>누가 얼마 줬는지, 아직 못 받은 돈이 얼마인지.</t>
        </is>
      </c>
    </row>
    <row r="17" ht="20" customHeight="1">
      <c r="B17" s="3" t="inlineStr">
        <is>
          <t>색깔 규칙</t>
        </is>
      </c>
      <c r="C17" s="3" t="n"/>
    </row>
    <row r="18">
      <c r="B18" s="5" t="inlineStr">
        <is>
          <t>노란 칸 · 파란 글씨</t>
        </is>
      </c>
      <c r="C18" s="6" t="inlineStr">
        <is>
          <t>여기에 입력하세요.</t>
        </is>
      </c>
    </row>
    <row r="19">
      <c r="B19" s="5" t="inlineStr">
        <is>
          <t>흰 칸 · 검은 글씨</t>
        </is>
      </c>
      <c r="C19" s="6" t="inlineStr">
        <is>
          <t>자동 계산됩니다. 덮어쓰면 수식이 지워집니다.</t>
        </is>
      </c>
    </row>
    <row r="20" ht="20" customHeight="1">
      <c r="B20" s="3" t="inlineStr">
        <is>
          <t>시작 순서</t>
        </is>
      </c>
      <c r="C20" s="3" t="n"/>
    </row>
    <row r="21">
      <c r="B21" s="5" t="inlineStr">
        <is>
          <t>1단계</t>
        </is>
      </c>
      <c r="C21" s="6" t="inlineStr">
        <is>
          <t>[기본설정]에서 상호와 과세 유형을 고릅니다. 모르면 홈택스 &gt; 사업자등록 내역에서 확인.</t>
        </is>
      </c>
    </row>
    <row r="22">
      <c r="B22" s="5" t="inlineStr">
        <is>
          <t>2단계</t>
        </is>
      </c>
      <c r="C22" s="6" t="inlineStr">
        <is>
          <t>카테고리 목록을 본인 업종에 맞게 고칩니다.</t>
        </is>
      </c>
    </row>
    <row r="23">
      <c r="B23" s="5" t="inlineStr">
        <is>
          <t>3단계</t>
        </is>
      </c>
      <c r="C23" s="6" t="inlineStr">
        <is>
          <t>[매출]과 [비용]의 예시 행을 지우고 실제 내역을 넣기 시작합니다.</t>
        </is>
      </c>
    </row>
    <row r="24" ht="20" customHeight="1">
      <c r="B24" s="3" t="inlineStr">
        <is>
          <t>꼭 읽어주세요</t>
        </is>
      </c>
      <c r="C24" s="3" t="n"/>
    </row>
    <row r="25">
      <c r="C25" s="4" t="inlineStr">
        <is>
          <t>이 파일은 기록을 정리하고 세금을 '예상'해 주는 도구입니다. 세무 대리나 신고 대행이 아닙니다.</t>
        </is>
      </c>
    </row>
    <row r="26">
      <c r="C26" s="4" t="inlineStr">
        <is>
          <t>실제 신고 금액은 공제·감면·업종에 따라 달라집니다. 신고 전 세무사 또는 홈택스에서 확인하세요.</t>
        </is>
      </c>
    </row>
    <row r="27">
      <c r="C27" s="4" t="inlineStr">
        <is>
          <t>세율 기준일: 2026-07-28 (국세청 종합소득세 세율표 / 간이과세 기준 1억 400만원)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7"/>
  <sheetViews>
    <sheetView showGridLines="0" workbookViewId="0">
      <selection activeCell="A1" sqref="A1"/>
    </sheetView>
  </sheetViews>
  <sheetFormatPr baseColWidth="8" defaultRowHeight="15"/>
  <cols>
    <col width="3" customWidth="1" min="1" max="1"/>
    <col width="22" customWidth="1" min="2" max="2"/>
    <col width="24" customWidth="1" min="3" max="3"/>
    <col width="34" customWidth="1" min="4" max="4"/>
    <col width="3" customWidth="1" min="5" max="5"/>
    <col width="24" customWidth="1" min="6" max="6"/>
    <col width="24" customWidth="1" min="7" max="7"/>
    <col width="20" customWidth="1" min="8" max="8"/>
  </cols>
  <sheetData>
    <row r="2" ht="28" customHeight="1">
      <c r="B2" s="1" t="inlineStr">
        <is>
          <t>기본설정</t>
        </is>
      </c>
    </row>
    <row r="3">
      <c r="B3" s="2" t="inlineStr">
        <is>
          <t>처음 한 번만 채우면 됩니다.</t>
        </is>
      </c>
    </row>
    <row r="4" ht="8" customHeight="1"/>
    <row r="6" ht="20" customHeight="1">
      <c r="B6" s="3" t="inlineStr">
        <is>
          <t>사업 정보</t>
        </is>
      </c>
      <c r="C6" s="3" t="n"/>
      <c r="D6" s="3" t="n"/>
      <c r="F6" s="3" t="inlineStr">
        <is>
          <t>매출 카테고리</t>
        </is>
      </c>
      <c r="G6" s="3" t="inlineStr">
        <is>
          <t>결제 수단</t>
        </is>
      </c>
      <c r="H6" s="7" t="inlineStr">
        <is>
          <t>간이과세 참고</t>
        </is>
      </c>
    </row>
    <row r="7">
      <c r="B7" s="5" t="inlineStr">
        <is>
          <t>상호 / 이름</t>
        </is>
      </c>
      <c r="C7" s="8" t="inlineStr">
        <is>
          <t>내 사업</t>
        </is>
      </c>
      <c r="D7" s="9" t="inlineStr">
        <is>
          <t>세금계산·신고안내에 쓰입니다</t>
        </is>
      </c>
      <c r="F7" s="8" t="inlineStr">
        <is>
          <t>용역/서비스</t>
        </is>
      </c>
      <c r="G7" s="8" t="inlineStr">
        <is>
          <t>계좌이체</t>
        </is>
      </c>
      <c r="H7" s="9" t="inlineStr">
        <is>
          <t>연매출 1억 400만원 미만 → 간이과세</t>
        </is>
      </c>
    </row>
    <row r="8">
      <c r="B8" s="5" t="inlineStr">
        <is>
          <t>사업 형태</t>
        </is>
      </c>
      <c r="C8" s="8" t="inlineStr">
        <is>
          <t>프리랜서</t>
        </is>
      </c>
      <c r="D8" s="9" t="inlineStr">
        <is>
          <t>프리랜서 / 개인사업자</t>
        </is>
      </c>
      <c r="F8" s="8" t="inlineStr">
        <is>
          <t>제품 판매</t>
        </is>
      </c>
      <c r="G8" s="8" t="inlineStr">
        <is>
          <t>카드</t>
        </is>
      </c>
      <c r="H8" s="9" t="inlineStr">
        <is>
          <t>연매출 4,800만원 미만 → 부가세 납부면제</t>
        </is>
      </c>
    </row>
    <row r="9">
      <c r="B9" s="5" t="inlineStr">
        <is>
          <t>과세 유형</t>
        </is>
      </c>
      <c r="C9" s="8" t="inlineStr">
        <is>
          <t>간이과세자</t>
        </is>
      </c>
      <c r="D9" s="9" t="inlineStr">
        <is>
          <t>홈택스 &gt; 사업자등록 내역에서 확인</t>
        </is>
      </c>
      <c r="F9" s="8" t="inlineStr">
        <is>
          <t>온라인 판매</t>
        </is>
      </c>
      <c r="G9" s="8" t="inlineStr">
        <is>
          <t>현금</t>
        </is>
      </c>
      <c r="H9" s="9" t="inlineStr">
        <is>
          <t>(신고는 해야 함)</t>
        </is>
      </c>
    </row>
    <row r="10">
      <c r="B10" s="5" t="inlineStr">
        <is>
          <t>업종</t>
        </is>
      </c>
      <c r="C10" s="8" t="inlineStr">
        <is>
          <t>서비스</t>
        </is>
      </c>
      <c r="D10" s="9" t="inlineStr">
        <is>
          <t>간이과세 부가율 판단에 쓰입니다</t>
        </is>
      </c>
      <c r="F10" s="8" t="inlineStr">
        <is>
          <t>강의/컨설팅</t>
        </is>
      </c>
      <c r="G10" s="8" t="inlineStr">
        <is>
          <t>간편결제</t>
        </is>
      </c>
      <c r="H10" s="9" t="inlineStr">
        <is>
          <t>간이 신고: 매년 1월 25일</t>
        </is>
      </c>
    </row>
    <row r="11">
      <c r="B11" s="5" t="inlineStr">
        <is>
          <t>사업 시작 연도</t>
        </is>
      </c>
      <c r="C11" s="8" t="n">
        <v>2026</v>
      </c>
      <c r="F11" s="8" t="inlineStr">
        <is>
          <t>광고/제휴</t>
        </is>
      </c>
      <c r="G11" s="8" t="inlineStr">
        <is>
          <t>기타</t>
        </is>
      </c>
      <c r="H11" s="9" t="inlineStr">
        <is>
          <t>일반 신고: 1월 · 7월</t>
        </is>
      </c>
    </row>
    <row r="12">
      <c r="F12" s="8" t="inlineStr">
        <is>
          <t>기타 수입</t>
        </is>
      </c>
      <c r="H12" s="9" t="inlineStr">
        <is>
          <t>종합소득세: 매년 5월</t>
        </is>
      </c>
    </row>
    <row r="13" ht="20" customHeight="1">
      <c r="B13" s="3" t="inlineStr">
        <is>
          <t>세금 설정</t>
        </is>
      </c>
      <c r="C13" s="3" t="n"/>
      <c r="D13" s="3" t="n"/>
      <c r="H13" s="9" t="inlineStr"/>
    </row>
    <row r="14" ht="20" customHeight="1">
      <c r="B14" s="5" t="inlineStr">
        <is>
          <t>원천징수율 (프리랜서)</t>
        </is>
      </c>
      <c r="C14" s="10" t="n">
        <v>0.033</v>
      </c>
      <c r="D14" s="9" t="inlineStr">
        <is>
          <t>지급액에서 떼는 비율. 소득세 3% + 지방세 0.3%</t>
        </is>
      </c>
      <c r="F14" s="3" t="inlineStr">
        <is>
          <t>비용 카테고리</t>
        </is>
      </c>
      <c r="H14" s="9" t="inlineStr">
        <is>
          <t>제조·도매·전문직 등은</t>
        </is>
      </c>
    </row>
    <row r="15">
      <c r="B15" s="5" t="inlineStr">
        <is>
          <t>부가세율 (일반과세)</t>
        </is>
      </c>
      <c r="C15" s="10" t="n">
        <v>0.1</v>
      </c>
      <c r="D15" s="9" t="inlineStr">
        <is>
          <t>일반과세자 매출세액 계산용</t>
        </is>
      </c>
      <c r="F15" s="8" t="inlineStr">
        <is>
          <t>재료비/매입</t>
        </is>
      </c>
      <c r="H15" s="9" t="inlineStr">
        <is>
          <t>간이과세 배제 업종입니다.</t>
        </is>
      </c>
    </row>
    <row r="16">
      <c r="B16" s="5" t="inlineStr">
        <is>
          <t>간이 부가가치율</t>
        </is>
      </c>
      <c r="C16" s="10" t="n">
        <v>0.15</v>
      </c>
      <c r="D16" s="9" t="inlineStr">
        <is>
          <t>업종별 15~40%. 서비스업 통상 15~30%</t>
        </is>
      </c>
      <c r="F16" s="8" t="inlineStr">
        <is>
          <t>임차료</t>
        </is>
      </c>
    </row>
    <row r="17">
      <c r="B17" s="5" t="inlineStr">
        <is>
          <t>차량 km당 단가</t>
        </is>
      </c>
      <c r="C17" s="11" t="n">
        <v>300</v>
      </c>
      <c r="D17" s="9" t="inlineStr">
        <is>
          <t>차량 사용 기록용. 본인 기준으로 조정</t>
        </is>
      </c>
      <c r="F17" s="8" t="inlineStr">
        <is>
          <t>인건비</t>
        </is>
      </c>
    </row>
    <row r="18">
      <c r="F18" s="8" t="inlineStr">
        <is>
          <t>통신비</t>
        </is>
      </c>
    </row>
    <row r="19">
      <c r="F19" s="8" t="inlineStr">
        <is>
          <t>광고선전비</t>
        </is>
      </c>
    </row>
    <row r="20">
      <c r="F20" s="8" t="inlineStr">
        <is>
          <t>차량유지비</t>
        </is>
      </c>
    </row>
    <row r="21">
      <c r="F21" s="8" t="inlineStr">
        <is>
          <t>소모품비</t>
        </is>
      </c>
    </row>
    <row r="22">
      <c r="F22" s="8" t="inlineStr">
        <is>
          <t>지급수수료</t>
        </is>
      </c>
    </row>
    <row r="23">
      <c r="F23" s="8" t="inlineStr">
        <is>
          <t>접대비</t>
        </is>
      </c>
    </row>
    <row r="24">
      <c r="F24" s="8" t="inlineStr">
        <is>
          <t>여비교통비</t>
        </is>
      </c>
    </row>
    <row r="25">
      <c r="F25" s="8" t="inlineStr">
        <is>
          <t>보험료</t>
        </is>
      </c>
    </row>
    <row r="26">
      <c r="F26" s="8" t="inlineStr">
        <is>
          <t>세금과공과</t>
        </is>
      </c>
    </row>
    <row r="27">
      <c r="F27" s="8" t="inlineStr">
        <is>
          <t>기타</t>
        </is>
      </c>
    </row>
  </sheetData>
  <dataValidations count="3">
    <dataValidation sqref="C8" showDropDown="0" showInputMessage="0" showErrorMessage="0" allowBlank="1" type="list">
      <formula1>"프리랜서,개인사업자"</formula1>
    </dataValidation>
    <dataValidation sqref="C9" showDropDown="0" showInputMessage="0" showErrorMessage="0" allowBlank="1" type="list">
      <formula1>"간이과세자,일반과세자,면세사업자"</formula1>
    </dataValidation>
    <dataValidation sqref="C10" showDropDown="0" showInputMessage="0" showErrorMessage="0" allowBlank="1" type="list">
      <formula1>"서비스,소매,음식점,숙박,제조,건설,운수,기타"</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50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22" customWidth="1" min="3" max="3"/>
    <col width="18" customWidth="1" min="4" max="4"/>
    <col width="14" customWidth="1" min="5" max="5"/>
    <col width="13" customWidth="1" min="6" max="6"/>
    <col width="11" customWidth="1" min="7" max="7"/>
    <col width="13" customWidth="1" min="8" max="8"/>
    <col width="13" customWidth="1" min="9" max="9"/>
    <col width="10" customWidth="1" min="10" max="10"/>
    <col width="15" customWidth="1" min="11" max="11"/>
    <col width="22" customWidth="1" min="12" max="12"/>
  </cols>
  <sheetData>
    <row r="2" ht="28" customHeight="1">
      <c r="B2" s="1" t="inlineStr">
        <is>
          <t>매출</t>
        </is>
      </c>
    </row>
    <row r="3">
      <c r="B3" s="2" t="inlineStr">
        <is>
          <t>받은 돈을 기록합니다. 노란 칸만 채우면 됩니다.</t>
        </is>
      </c>
    </row>
    <row r="4" ht="8" customHeight="1"/>
    <row r="6" ht="26" customHeight="1">
      <c r="B6" s="12" t="inlineStr">
        <is>
          <t>날짜</t>
        </is>
      </c>
      <c r="C6" s="12" t="inlineStr">
        <is>
          <t>거래처</t>
        </is>
      </c>
      <c r="D6" s="12" t="inlineStr">
        <is>
          <t>내용</t>
        </is>
      </c>
      <c r="E6" s="12" t="inlineStr">
        <is>
          <t>카테고리</t>
        </is>
      </c>
      <c r="F6" s="12" t="inlineStr">
        <is>
          <t>공급가액</t>
        </is>
      </c>
      <c r="G6" s="12" t="inlineStr">
        <is>
          <t>부가세</t>
        </is>
      </c>
      <c r="H6" s="12" t="inlineStr">
        <is>
          <t>총 입금액</t>
        </is>
      </c>
      <c r="I6" s="12" t="inlineStr">
        <is>
          <t>원천징수 여부</t>
        </is>
      </c>
      <c r="J6" s="12" t="inlineStr">
        <is>
          <t>입금여부</t>
        </is>
      </c>
      <c r="K6" s="12" t="inlineStr">
        <is>
          <t>원천징수액(3.3%)</t>
        </is>
      </c>
      <c r="L6" s="12" t="inlineStr">
        <is>
          <t>메모</t>
        </is>
      </c>
    </row>
    <row r="7">
      <c r="B7" s="13" t="n">
        <v>46037</v>
      </c>
      <c r="C7" s="8" t="inlineStr">
        <is>
          <t>A거래처</t>
        </is>
      </c>
      <c r="D7" s="8" t="inlineStr">
        <is>
          <t>1월 용역</t>
        </is>
      </c>
      <c r="E7" s="8" t="inlineStr">
        <is>
          <t>용역/서비스</t>
        </is>
      </c>
      <c r="F7" s="11" t="n">
        <v>1000000</v>
      </c>
      <c r="G7" s="14">
        <f>IF($F7="","",IF(기본설정!$C$9="일반과세자",ROUND($F7*기본설정!$C$15,0),0))</f>
        <v/>
      </c>
      <c r="H7" s="15">
        <f>IF($F7="","",$F7+$G7)</f>
        <v/>
      </c>
      <c r="I7" s="8" t="inlineStr">
        <is>
          <t>아니오</t>
        </is>
      </c>
      <c r="J7" s="8" t="inlineStr">
        <is>
          <t>예</t>
        </is>
      </c>
      <c r="K7" s="14">
        <f>IF($F7="","",IF($I7="예",ROUND($F7*기본설정!$C$14,0),0))</f>
        <v/>
      </c>
      <c r="L7" s="8" t="n"/>
    </row>
    <row r="8">
      <c r="B8" s="13" t="n">
        <v>46050</v>
      </c>
      <c r="C8" s="8" t="inlineStr">
        <is>
          <t>B스토어</t>
        </is>
      </c>
      <c r="D8" s="8" t="inlineStr">
        <is>
          <t>제품 판매</t>
        </is>
      </c>
      <c r="E8" s="8" t="inlineStr">
        <is>
          <t>제품 판매</t>
        </is>
      </c>
      <c r="F8" s="11" t="n">
        <v>350000</v>
      </c>
      <c r="G8" s="14">
        <f>IF($F8="","",IF(기본설정!$C$9="일반과세자",ROUND($F8*기본설정!$C$15,0),0))</f>
        <v/>
      </c>
      <c r="H8" s="15">
        <f>IF($F8="","",$F8+$G8)</f>
        <v/>
      </c>
      <c r="I8" s="8" t="inlineStr">
        <is>
          <t>예</t>
        </is>
      </c>
      <c r="J8" s="8" t="inlineStr">
        <is>
          <t>예</t>
        </is>
      </c>
      <c r="K8" s="14">
        <f>IF($F8="","",IF($I8="예",ROUND($F8*기본설정!$C$14,0),0))</f>
        <v/>
      </c>
      <c r="L8" s="8" t="n"/>
    </row>
    <row r="9">
      <c r="B9" s="13" t="n"/>
      <c r="C9" s="8" t="n"/>
      <c r="D9" s="8" t="n"/>
      <c r="E9" s="8" t="n"/>
      <c r="F9" s="11" t="n"/>
      <c r="G9" s="14">
        <f>IF($F9="","",IF(기본설정!$C$9="일반과세자",ROUND($F9*기본설정!$C$15,0),0))</f>
        <v/>
      </c>
      <c r="H9" s="15">
        <f>IF($F9="","",$F9+$G9)</f>
        <v/>
      </c>
      <c r="I9" s="8" t="n"/>
      <c r="J9" s="8" t="n"/>
      <c r="K9" s="14">
        <f>IF($F9="","",IF($I9="예",ROUND($F9*기본설정!$C$14,0),0))</f>
        <v/>
      </c>
      <c r="L9" s="8" t="n"/>
    </row>
    <row r="10">
      <c r="B10" s="13" t="n"/>
      <c r="C10" s="8" t="n"/>
      <c r="D10" s="8" t="n"/>
      <c r="E10" s="8" t="n"/>
      <c r="F10" s="11" t="n"/>
      <c r="G10" s="14">
        <f>IF($F10="","",IF(기본설정!$C$9="일반과세자",ROUND($F10*기본설정!$C$15,0),0))</f>
        <v/>
      </c>
      <c r="H10" s="15">
        <f>IF($F10="","",$F10+$G10)</f>
        <v/>
      </c>
      <c r="I10" s="8" t="n"/>
      <c r="J10" s="8" t="n"/>
      <c r="K10" s="14">
        <f>IF($F10="","",IF($I10="예",ROUND($F10*기본설정!$C$14,0),0))</f>
        <v/>
      </c>
      <c r="L10" s="8" t="n"/>
    </row>
    <row r="11">
      <c r="B11" s="13" t="n"/>
      <c r="C11" s="8" t="n"/>
      <c r="D11" s="8" t="n"/>
      <c r="E11" s="8" t="n"/>
      <c r="F11" s="11" t="n"/>
      <c r="G11" s="14">
        <f>IF($F11="","",IF(기본설정!$C$9="일반과세자",ROUND($F11*기본설정!$C$15,0),0))</f>
        <v/>
      </c>
      <c r="H11" s="15">
        <f>IF($F11="","",$F11+$G11)</f>
        <v/>
      </c>
      <c r="I11" s="8" t="n"/>
      <c r="J11" s="8" t="n"/>
      <c r="K11" s="14">
        <f>IF($F11="","",IF($I11="예",ROUND($F11*기본설정!$C$14,0),0))</f>
        <v/>
      </c>
      <c r="L11" s="8" t="n"/>
    </row>
    <row r="12">
      <c r="B12" s="13" t="n"/>
      <c r="C12" s="8" t="n"/>
      <c r="D12" s="8" t="n"/>
      <c r="E12" s="8" t="n"/>
      <c r="F12" s="11" t="n"/>
      <c r="G12" s="14">
        <f>IF($F12="","",IF(기본설정!$C$9="일반과세자",ROUND($F12*기본설정!$C$15,0),0))</f>
        <v/>
      </c>
      <c r="H12" s="15">
        <f>IF($F12="","",$F12+$G12)</f>
        <v/>
      </c>
      <c r="I12" s="8" t="n"/>
      <c r="J12" s="8" t="n"/>
      <c r="K12" s="14">
        <f>IF($F12="","",IF($I12="예",ROUND($F12*기본설정!$C$14,0),0))</f>
        <v/>
      </c>
      <c r="L12" s="8" t="n"/>
    </row>
    <row r="13">
      <c r="B13" s="13" t="n"/>
      <c r="C13" s="8" t="n"/>
      <c r="D13" s="8" t="n"/>
      <c r="E13" s="8" t="n"/>
      <c r="F13" s="11" t="n"/>
      <c r="G13" s="14">
        <f>IF($F13="","",IF(기본설정!$C$9="일반과세자",ROUND($F13*기본설정!$C$15,0),0))</f>
        <v/>
      </c>
      <c r="H13" s="15">
        <f>IF($F13="","",$F13+$G13)</f>
        <v/>
      </c>
      <c r="I13" s="8" t="n"/>
      <c r="J13" s="8" t="n"/>
      <c r="K13" s="14">
        <f>IF($F13="","",IF($I13="예",ROUND($F13*기본설정!$C$14,0),0))</f>
        <v/>
      </c>
      <c r="L13" s="8" t="n"/>
    </row>
    <row r="14">
      <c r="B14" s="13" t="n"/>
      <c r="C14" s="8" t="n"/>
      <c r="D14" s="8" t="n"/>
      <c r="E14" s="8" t="n"/>
      <c r="F14" s="11" t="n"/>
      <c r="G14" s="14">
        <f>IF($F14="","",IF(기본설정!$C$9="일반과세자",ROUND($F14*기본설정!$C$15,0),0))</f>
        <v/>
      </c>
      <c r="H14" s="15">
        <f>IF($F14="","",$F14+$G14)</f>
        <v/>
      </c>
      <c r="I14" s="8" t="n"/>
      <c r="J14" s="8" t="n"/>
      <c r="K14" s="14">
        <f>IF($F14="","",IF($I14="예",ROUND($F14*기본설정!$C$14,0),0))</f>
        <v/>
      </c>
      <c r="L14" s="8" t="n"/>
    </row>
    <row r="15">
      <c r="B15" s="13" t="n"/>
      <c r="C15" s="8" t="n"/>
      <c r="D15" s="8" t="n"/>
      <c r="E15" s="8" t="n"/>
      <c r="F15" s="11" t="n"/>
      <c r="G15" s="14">
        <f>IF($F15="","",IF(기본설정!$C$9="일반과세자",ROUND($F15*기본설정!$C$15,0),0))</f>
        <v/>
      </c>
      <c r="H15" s="15">
        <f>IF($F15="","",$F15+$G15)</f>
        <v/>
      </c>
      <c r="I15" s="8" t="n"/>
      <c r="J15" s="8" t="n"/>
      <c r="K15" s="14">
        <f>IF($F15="","",IF($I15="예",ROUND($F15*기본설정!$C$14,0),0))</f>
        <v/>
      </c>
      <c r="L15" s="8" t="n"/>
    </row>
    <row r="16">
      <c r="B16" s="13" t="n"/>
      <c r="C16" s="8" t="n"/>
      <c r="D16" s="8" t="n"/>
      <c r="E16" s="8" t="n"/>
      <c r="F16" s="11" t="n"/>
      <c r="G16" s="14">
        <f>IF($F16="","",IF(기본설정!$C$9="일반과세자",ROUND($F16*기본설정!$C$15,0),0))</f>
        <v/>
      </c>
      <c r="H16" s="15">
        <f>IF($F16="","",$F16+$G16)</f>
        <v/>
      </c>
      <c r="I16" s="8" t="n"/>
      <c r="J16" s="8" t="n"/>
      <c r="K16" s="14">
        <f>IF($F16="","",IF($I16="예",ROUND($F16*기본설정!$C$14,0),0))</f>
        <v/>
      </c>
      <c r="L16" s="8" t="n"/>
    </row>
    <row r="17">
      <c r="B17" s="13" t="n"/>
      <c r="C17" s="8" t="n"/>
      <c r="D17" s="8" t="n"/>
      <c r="E17" s="8" t="n"/>
      <c r="F17" s="11" t="n"/>
      <c r="G17" s="14">
        <f>IF($F17="","",IF(기본설정!$C$9="일반과세자",ROUND($F17*기본설정!$C$15,0),0))</f>
        <v/>
      </c>
      <c r="H17" s="15">
        <f>IF($F17="","",$F17+$G17)</f>
        <v/>
      </c>
      <c r="I17" s="8" t="n"/>
      <c r="J17" s="8" t="n"/>
      <c r="K17" s="14">
        <f>IF($F17="","",IF($I17="예",ROUND($F17*기본설정!$C$14,0),0))</f>
        <v/>
      </c>
      <c r="L17" s="8" t="n"/>
    </row>
    <row r="18">
      <c r="B18" s="13" t="n"/>
      <c r="C18" s="8" t="n"/>
      <c r="D18" s="8" t="n"/>
      <c r="E18" s="8" t="n"/>
      <c r="F18" s="11" t="n"/>
      <c r="G18" s="14">
        <f>IF($F18="","",IF(기본설정!$C$9="일반과세자",ROUND($F18*기본설정!$C$15,0),0))</f>
        <v/>
      </c>
      <c r="H18" s="15">
        <f>IF($F18="","",$F18+$G18)</f>
        <v/>
      </c>
      <c r="I18" s="8" t="n"/>
      <c r="J18" s="8" t="n"/>
      <c r="K18" s="14">
        <f>IF($F18="","",IF($I18="예",ROUND($F18*기본설정!$C$14,0),0))</f>
        <v/>
      </c>
      <c r="L18" s="8" t="n"/>
    </row>
    <row r="19">
      <c r="B19" s="13" t="n"/>
      <c r="C19" s="8" t="n"/>
      <c r="D19" s="8" t="n"/>
      <c r="E19" s="8" t="n"/>
      <c r="F19" s="11" t="n"/>
      <c r="G19" s="14">
        <f>IF($F19="","",IF(기본설정!$C$9="일반과세자",ROUND($F19*기본설정!$C$15,0),0))</f>
        <v/>
      </c>
      <c r="H19" s="15">
        <f>IF($F19="","",$F19+$G19)</f>
        <v/>
      </c>
      <c r="I19" s="8" t="n"/>
      <c r="J19" s="8" t="n"/>
      <c r="K19" s="14">
        <f>IF($F19="","",IF($I19="예",ROUND($F19*기본설정!$C$14,0),0))</f>
        <v/>
      </c>
      <c r="L19" s="8" t="n"/>
    </row>
    <row r="20">
      <c r="B20" s="13" t="n"/>
      <c r="C20" s="8" t="n"/>
      <c r="D20" s="8" t="n"/>
      <c r="E20" s="8" t="n"/>
      <c r="F20" s="11" t="n"/>
      <c r="G20" s="14">
        <f>IF($F20="","",IF(기본설정!$C$9="일반과세자",ROUND($F20*기본설정!$C$15,0),0))</f>
        <v/>
      </c>
      <c r="H20" s="15">
        <f>IF($F20="","",$F20+$G20)</f>
        <v/>
      </c>
      <c r="I20" s="8" t="n"/>
      <c r="J20" s="8" t="n"/>
      <c r="K20" s="14">
        <f>IF($F20="","",IF($I20="예",ROUND($F20*기본설정!$C$14,0),0))</f>
        <v/>
      </c>
      <c r="L20" s="8" t="n"/>
    </row>
    <row r="21">
      <c r="B21" s="13" t="n"/>
      <c r="C21" s="8" t="n"/>
      <c r="D21" s="8" t="n"/>
      <c r="E21" s="8" t="n"/>
      <c r="F21" s="11" t="n"/>
      <c r="G21" s="14">
        <f>IF($F21="","",IF(기본설정!$C$9="일반과세자",ROUND($F21*기본설정!$C$15,0),0))</f>
        <v/>
      </c>
      <c r="H21" s="15">
        <f>IF($F21="","",$F21+$G21)</f>
        <v/>
      </c>
      <c r="I21" s="8" t="n"/>
      <c r="J21" s="8" t="n"/>
      <c r="K21" s="14">
        <f>IF($F21="","",IF($I21="예",ROUND($F21*기본설정!$C$14,0),0))</f>
        <v/>
      </c>
      <c r="L21" s="8" t="n"/>
    </row>
    <row r="22">
      <c r="B22" s="13" t="n"/>
      <c r="C22" s="8" t="n"/>
      <c r="D22" s="8" t="n"/>
      <c r="E22" s="8" t="n"/>
      <c r="F22" s="11" t="n"/>
      <c r="G22" s="14">
        <f>IF($F22="","",IF(기본설정!$C$9="일반과세자",ROUND($F22*기본설정!$C$15,0),0))</f>
        <v/>
      </c>
      <c r="H22" s="15">
        <f>IF($F22="","",$F22+$G22)</f>
        <v/>
      </c>
      <c r="I22" s="8" t="n"/>
      <c r="J22" s="8" t="n"/>
      <c r="K22" s="14">
        <f>IF($F22="","",IF($I22="예",ROUND($F22*기본설정!$C$14,0),0))</f>
        <v/>
      </c>
      <c r="L22" s="8" t="n"/>
    </row>
    <row r="23">
      <c r="B23" s="13" t="n"/>
      <c r="C23" s="8" t="n"/>
      <c r="D23" s="8" t="n"/>
      <c r="E23" s="8" t="n"/>
      <c r="F23" s="11" t="n"/>
      <c r="G23" s="14">
        <f>IF($F23="","",IF(기본설정!$C$9="일반과세자",ROUND($F23*기본설정!$C$15,0),0))</f>
        <v/>
      </c>
      <c r="H23" s="15">
        <f>IF($F23="","",$F23+$G23)</f>
        <v/>
      </c>
      <c r="I23" s="8" t="n"/>
      <c r="J23" s="8" t="n"/>
      <c r="K23" s="14">
        <f>IF($F23="","",IF($I23="예",ROUND($F23*기본설정!$C$14,0),0))</f>
        <v/>
      </c>
      <c r="L23" s="8" t="n"/>
    </row>
    <row r="24">
      <c r="B24" s="13" t="n"/>
      <c r="C24" s="8" t="n"/>
      <c r="D24" s="8" t="n"/>
      <c r="E24" s="8" t="n"/>
      <c r="F24" s="11" t="n"/>
      <c r="G24" s="14">
        <f>IF($F24="","",IF(기본설정!$C$9="일반과세자",ROUND($F24*기본설정!$C$15,0),0))</f>
        <v/>
      </c>
      <c r="H24" s="15">
        <f>IF($F24="","",$F24+$G24)</f>
        <v/>
      </c>
      <c r="I24" s="8" t="n"/>
      <c r="J24" s="8" t="n"/>
      <c r="K24" s="14">
        <f>IF($F24="","",IF($I24="예",ROUND($F24*기본설정!$C$14,0),0))</f>
        <v/>
      </c>
      <c r="L24" s="8" t="n"/>
    </row>
    <row r="25">
      <c r="B25" s="13" t="n"/>
      <c r="C25" s="8" t="n"/>
      <c r="D25" s="8" t="n"/>
      <c r="E25" s="8" t="n"/>
      <c r="F25" s="11" t="n"/>
      <c r="G25" s="14">
        <f>IF($F25="","",IF(기본설정!$C$9="일반과세자",ROUND($F25*기본설정!$C$15,0),0))</f>
        <v/>
      </c>
      <c r="H25" s="15">
        <f>IF($F25="","",$F25+$G25)</f>
        <v/>
      </c>
      <c r="I25" s="8" t="n"/>
      <c r="J25" s="8" t="n"/>
      <c r="K25" s="14">
        <f>IF($F25="","",IF($I25="예",ROUND($F25*기본설정!$C$14,0),0))</f>
        <v/>
      </c>
      <c r="L25" s="8" t="n"/>
    </row>
    <row r="26">
      <c r="B26" s="13" t="n"/>
      <c r="C26" s="8" t="n"/>
      <c r="D26" s="8" t="n"/>
      <c r="E26" s="8" t="n"/>
      <c r="F26" s="11" t="n"/>
      <c r="G26" s="14">
        <f>IF($F26="","",IF(기본설정!$C$9="일반과세자",ROUND($F26*기본설정!$C$15,0),0))</f>
        <v/>
      </c>
      <c r="H26" s="15">
        <f>IF($F26="","",$F26+$G26)</f>
        <v/>
      </c>
      <c r="I26" s="8" t="n"/>
      <c r="J26" s="8" t="n"/>
      <c r="K26" s="14">
        <f>IF($F26="","",IF($I26="예",ROUND($F26*기본설정!$C$14,0),0))</f>
        <v/>
      </c>
      <c r="L26" s="8" t="n"/>
    </row>
    <row r="27">
      <c r="B27" s="13" t="n"/>
      <c r="C27" s="8" t="n"/>
      <c r="D27" s="8" t="n"/>
      <c r="E27" s="8" t="n"/>
      <c r="F27" s="11" t="n"/>
      <c r="G27" s="14">
        <f>IF($F27="","",IF(기본설정!$C$9="일반과세자",ROUND($F27*기본설정!$C$15,0),0))</f>
        <v/>
      </c>
      <c r="H27" s="15">
        <f>IF($F27="","",$F27+$G27)</f>
        <v/>
      </c>
      <c r="I27" s="8" t="n"/>
      <c r="J27" s="8" t="n"/>
      <c r="K27" s="14">
        <f>IF($F27="","",IF($I27="예",ROUND($F27*기본설정!$C$14,0),0))</f>
        <v/>
      </c>
      <c r="L27" s="8" t="n"/>
    </row>
    <row r="28">
      <c r="B28" s="13" t="n"/>
      <c r="C28" s="8" t="n"/>
      <c r="D28" s="8" t="n"/>
      <c r="E28" s="8" t="n"/>
      <c r="F28" s="11" t="n"/>
      <c r="G28" s="14">
        <f>IF($F28="","",IF(기본설정!$C$9="일반과세자",ROUND($F28*기본설정!$C$15,0),0))</f>
        <v/>
      </c>
      <c r="H28" s="15">
        <f>IF($F28="","",$F28+$G28)</f>
        <v/>
      </c>
      <c r="I28" s="8" t="n"/>
      <c r="J28" s="8" t="n"/>
      <c r="K28" s="14">
        <f>IF($F28="","",IF($I28="예",ROUND($F28*기본설정!$C$14,0),0))</f>
        <v/>
      </c>
      <c r="L28" s="8" t="n"/>
    </row>
    <row r="29">
      <c r="B29" s="13" t="n"/>
      <c r="C29" s="8" t="n"/>
      <c r="D29" s="8" t="n"/>
      <c r="E29" s="8" t="n"/>
      <c r="F29" s="11" t="n"/>
      <c r="G29" s="14">
        <f>IF($F29="","",IF(기본설정!$C$9="일반과세자",ROUND($F29*기본설정!$C$15,0),0))</f>
        <v/>
      </c>
      <c r="H29" s="15">
        <f>IF($F29="","",$F29+$G29)</f>
        <v/>
      </c>
      <c r="I29" s="8" t="n"/>
      <c r="J29" s="8" t="n"/>
      <c r="K29" s="14">
        <f>IF($F29="","",IF($I29="예",ROUND($F29*기본설정!$C$14,0),0))</f>
        <v/>
      </c>
      <c r="L29" s="8" t="n"/>
    </row>
    <row r="30">
      <c r="B30" s="13" t="n"/>
      <c r="C30" s="8" t="n"/>
      <c r="D30" s="8" t="n"/>
      <c r="E30" s="8" t="n"/>
      <c r="F30" s="11" t="n"/>
      <c r="G30" s="14">
        <f>IF($F30="","",IF(기본설정!$C$9="일반과세자",ROUND($F30*기본설정!$C$15,0),0))</f>
        <v/>
      </c>
      <c r="H30" s="15">
        <f>IF($F30="","",$F30+$G30)</f>
        <v/>
      </c>
      <c r="I30" s="8" t="n"/>
      <c r="J30" s="8" t="n"/>
      <c r="K30" s="14">
        <f>IF($F30="","",IF($I30="예",ROUND($F30*기본설정!$C$14,0),0))</f>
        <v/>
      </c>
      <c r="L30" s="8" t="n"/>
    </row>
    <row r="31">
      <c r="B31" s="13" t="n"/>
      <c r="C31" s="8" t="n"/>
      <c r="D31" s="8" t="n"/>
      <c r="E31" s="8" t="n"/>
      <c r="F31" s="11" t="n"/>
      <c r="G31" s="14">
        <f>IF($F31="","",IF(기본설정!$C$9="일반과세자",ROUND($F31*기본설정!$C$15,0),0))</f>
        <v/>
      </c>
      <c r="H31" s="15">
        <f>IF($F31="","",$F31+$G31)</f>
        <v/>
      </c>
      <c r="I31" s="8" t="n"/>
      <c r="J31" s="8" t="n"/>
      <c r="K31" s="14">
        <f>IF($F31="","",IF($I31="예",ROUND($F31*기본설정!$C$14,0),0))</f>
        <v/>
      </c>
      <c r="L31" s="8" t="n"/>
    </row>
    <row r="32">
      <c r="B32" s="13" t="n"/>
      <c r="C32" s="8" t="n"/>
      <c r="D32" s="8" t="n"/>
      <c r="E32" s="8" t="n"/>
      <c r="F32" s="11" t="n"/>
      <c r="G32" s="14">
        <f>IF($F32="","",IF(기본설정!$C$9="일반과세자",ROUND($F32*기본설정!$C$15,0),0))</f>
        <v/>
      </c>
      <c r="H32" s="15">
        <f>IF($F32="","",$F32+$G32)</f>
        <v/>
      </c>
      <c r="I32" s="8" t="n"/>
      <c r="J32" s="8" t="n"/>
      <c r="K32" s="14">
        <f>IF($F32="","",IF($I32="예",ROUND($F32*기본설정!$C$14,0),0))</f>
        <v/>
      </c>
      <c r="L32" s="8" t="n"/>
    </row>
    <row r="33">
      <c r="B33" s="13" t="n"/>
      <c r="C33" s="8" t="n"/>
      <c r="D33" s="8" t="n"/>
      <c r="E33" s="8" t="n"/>
      <c r="F33" s="11" t="n"/>
      <c r="G33" s="14">
        <f>IF($F33="","",IF(기본설정!$C$9="일반과세자",ROUND($F33*기본설정!$C$15,0),0))</f>
        <v/>
      </c>
      <c r="H33" s="15">
        <f>IF($F33="","",$F33+$G33)</f>
        <v/>
      </c>
      <c r="I33" s="8" t="n"/>
      <c r="J33" s="8" t="n"/>
      <c r="K33" s="14">
        <f>IF($F33="","",IF($I33="예",ROUND($F33*기본설정!$C$14,0),0))</f>
        <v/>
      </c>
      <c r="L33" s="8" t="n"/>
    </row>
    <row r="34">
      <c r="B34" s="13" t="n"/>
      <c r="C34" s="8" t="n"/>
      <c r="D34" s="8" t="n"/>
      <c r="E34" s="8" t="n"/>
      <c r="F34" s="11" t="n"/>
      <c r="G34" s="14">
        <f>IF($F34="","",IF(기본설정!$C$9="일반과세자",ROUND($F34*기본설정!$C$15,0),0))</f>
        <v/>
      </c>
      <c r="H34" s="15">
        <f>IF($F34="","",$F34+$G34)</f>
        <v/>
      </c>
      <c r="I34" s="8" t="n"/>
      <c r="J34" s="8" t="n"/>
      <c r="K34" s="14">
        <f>IF($F34="","",IF($I34="예",ROUND($F34*기본설정!$C$14,0),0))</f>
        <v/>
      </c>
      <c r="L34" s="8" t="n"/>
    </row>
    <row r="35">
      <c r="B35" s="13" t="n"/>
      <c r="C35" s="8" t="n"/>
      <c r="D35" s="8" t="n"/>
      <c r="E35" s="8" t="n"/>
      <c r="F35" s="11" t="n"/>
      <c r="G35" s="14">
        <f>IF($F35="","",IF(기본설정!$C$9="일반과세자",ROUND($F35*기본설정!$C$15,0),0))</f>
        <v/>
      </c>
      <c r="H35" s="15">
        <f>IF($F35="","",$F35+$G35)</f>
        <v/>
      </c>
      <c r="I35" s="8" t="n"/>
      <c r="J35" s="8" t="n"/>
      <c r="K35" s="14">
        <f>IF($F35="","",IF($I35="예",ROUND($F35*기본설정!$C$14,0),0))</f>
        <v/>
      </c>
      <c r="L35" s="8" t="n"/>
    </row>
    <row r="36">
      <c r="B36" s="13" t="n"/>
      <c r="C36" s="8" t="n"/>
      <c r="D36" s="8" t="n"/>
      <c r="E36" s="8" t="n"/>
      <c r="F36" s="11" t="n"/>
      <c r="G36" s="14">
        <f>IF($F36="","",IF(기본설정!$C$9="일반과세자",ROUND($F36*기본설정!$C$15,0),0))</f>
        <v/>
      </c>
      <c r="H36" s="15">
        <f>IF($F36="","",$F36+$G36)</f>
        <v/>
      </c>
      <c r="I36" s="8" t="n"/>
      <c r="J36" s="8" t="n"/>
      <c r="K36" s="14">
        <f>IF($F36="","",IF($I36="예",ROUND($F36*기본설정!$C$14,0),0))</f>
        <v/>
      </c>
      <c r="L36" s="8" t="n"/>
    </row>
    <row r="37">
      <c r="B37" s="13" t="n"/>
      <c r="C37" s="8" t="n"/>
      <c r="D37" s="8" t="n"/>
      <c r="E37" s="8" t="n"/>
      <c r="F37" s="11" t="n"/>
      <c r="G37" s="14">
        <f>IF($F37="","",IF(기본설정!$C$9="일반과세자",ROUND($F37*기본설정!$C$15,0),0))</f>
        <v/>
      </c>
      <c r="H37" s="15">
        <f>IF($F37="","",$F37+$G37)</f>
        <v/>
      </c>
      <c r="I37" s="8" t="n"/>
      <c r="J37" s="8" t="n"/>
      <c r="K37" s="14">
        <f>IF($F37="","",IF($I37="예",ROUND($F37*기본설정!$C$14,0),0))</f>
        <v/>
      </c>
      <c r="L37" s="8" t="n"/>
    </row>
    <row r="38">
      <c r="B38" s="13" t="n"/>
      <c r="C38" s="8" t="n"/>
      <c r="D38" s="8" t="n"/>
      <c r="E38" s="8" t="n"/>
      <c r="F38" s="11" t="n"/>
      <c r="G38" s="14">
        <f>IF($F38="","",IF(기본설정!$C$9="일반과세자",ROUND($F38*기본설정!$C$15,0),0))</f>
        <v/>
      </c>
      <c r="H38" s="15">
        <f>IF($F38="","",$F38+$G38)</f>
        <v/>
      </c>
      <c r="I38" s="8" t="n"/>
      <c r="J38" s="8" t="n"/>
      <c r="K38" s="14">
        <f>IF($F38="","",IF($I38="예",ROUND($F38*기본설정!$C$14,0),0))</f>
        <v/>
      </c>
      <c r="L38" s="8" t="n"/>
    </row>
    <row r="39">
      <c r="B39" s="13" t="n"/>
      <c r="C39" s="8" t="n"/>
      <c r="D39" s="8" t="n"/>
      <c r="E39" s="8" t="n"/>
      <c r="F39" s="11" t="n"/>
      <c r="G39" s="14">
        <f>IF($F39="","",IF(기본설정!$C$9="일반과세자",ROUND($F39*기본설정!$C$15,0),0))</f>
        <v/>
      </c>
      <c r="H39" s="15">
        <f>IF($F39="","",$F39+$G39)</f>
        <v/>
      </c>
      <c r="I39" s="8" t="n"/>
      <c r="J39" s="8" t="n"/>
      <c r="K39" s="14">
        <f>IF($F39="","",IF($I39="예",ROUND($F39*기본설정!$C$14,0),0))</f>
        <v/>
      </c>
      <c r="L39" s="8" t="n"/>
    </row>
    <row r="40">
      <c r="B40" s="13" t="n"/>
      <c r="C40" s="8" t="n"/>
      <c r="D40" s="8" t="n"/>
      <c r="E40" s="8" t="n"/>
      <c r="F40" s="11" t="n"/>
      <c r="G40" s="14">
        <f>IF($F40="","",IF(기본설정!$C$9="일반과세자",ROUND($F40*기본설정!$C$15,0),0))</f>
        <v/>
      </c>
      <c r="H40" s="15">
        <f>IF($F40="","",$F40+$G40)</f>
        <v/>
      </c>
      <c r="I40" s="8" t="n"/>
      <c r="J40" s="8" t="n"/>
      <c r="K40" s="14">
        <f>IF($F40="","",IF($I40="예",ROUND($F40*기본설정!$C$14,0),0))</f>
        <v/>
      </c>
      <c r="L40" s="8" t="n"/>
    </row>
    <row r="41">
      <c r="B41" s="13" t="n"/>
      <c r="C41" s="8" t="n"/>
      <c r="D41" s="8" t="n"/>
      <c r="E41" s="8" t="n"/>
      <c r="F41" s="11" t="n"/>
      <c r="G41" s="14">
        <f>IF($F41="","",IF(기본설정!$C$9="일반과세자",ROUND($F41*기본설정!$C$15,0),0))</f>
        <v/>
      </c>
      <c r="H41" s="15">
        <f>IF($F41="","",$F41+$G41)</f>
        <v/>
      </c>
      <c r="I41" s="8" t="n"/>
      <c r="J41" s="8" t="n"/>
      <c r="K41" s="14">
        <f>IF($F41="","",IF($I41="예",ROUND($F41*기본설정!$C$14,0),0))</f>
        <v/>
      </c>
      <c r="L41" s="8" t="n"/>
    </row>
    <row r="42">
      <c r="B42" s="13" t="n"/>
      <c r="C42" s="8" t="n"/>
      <c r="D42" s="8" t="n"/>
      <c r="E42" s="8" t="n"/>
      <c r="F42" s="11" t="n"/>
      <c r="G42" s="14">
        <f>IF($F42="","",IF(기본설정!$C$9="일반과세자",ROUND($F42*기본설정!$C$15,0),0))</f>
        <v/>
      </c>
      <c r="H42" s="15">
        <f>IF($F42="","",$F42+$G42)</f>
        <v/>
      </c>
      <c r="I42" s="8" t="n"/>
      <c r="J42" s="8" t="n"/>
      <c r="K42" s="14">
        <f>IF($F42="","",IF($I42="예",ROUND($F42*기본설정!$C$14,0),0))</f>
        <v/>
      </c>
      <c r="L42" s="8" t="n"/>
    </row>
    <row r="43">
      <c r="B43" s="13" t="n"/>
      <c r="C43" s="8" t="n"/>
      <c r="D43" s="8" t="n"/>
      <c r="E43" s="8" t="n"/>
      <c r="F43" s="11" t="n"/>
      <c r="G43" s="14">
        <f>IF($F43="","",IF(기본설정!$C$9="일반과세자",ROUND($F43*기본설정!$C$15,0),0))</f>
        <v/>
      </c>
      <c r="H43" s="15">
        <f>IF($F43="","",$F43+$G43)</f>
        <v/>
      </c>
      <c r="I43" s="8" t="n"/>
      <c r="J43" s="8" t="n"/>
      <c r="K43" s="14">
        <f>IF($F43="","",IF($I43="예",ROUND($F43*기본설정!$C$14,0),0))</f>
        <v/>
      </c>
      <c r="L43" s="8" t="n"/>
    </row>
    <row r="44">
      <c r="B44" s="13" t="n"/>
      <c r="C44" s="8" t="n"/>
      <c r="D44" s="8" t="n"/>
      <c r="E44" s="8" t="n"/>
      <c r="F44" s="11" t="n"/>
      <c r="G44" s="14">
        <f>IF($F44="","",IF(기본설정!$C$9="일반과세자",ROUND($F44*기본설정!$C$15,0),0))</f>
        <v/>
      </c>
      <c r="H44" s="15">
        <f>IF($F44="","",$F44+$G44)</f>
        <v/>
      </c>
      <c r="I44" s="8" t="n"/>
      <c r="J44" s="8" t="n"/>
      <c r="K44" s="14">
        <f>IF($F44="","",IF($I44="예",ROUND($F44*기본설정!$C$14,0),0))</f>
        <v/>
      </c>
      <c r="L44" s="8" t="n"/>
    </row>
    <row r="45">
      <c r="B45" s="13" t="n"/>
      <c r="C45" s="8" t="n"/>
      <c r="D45" s="8" t="n"/>
      <c r="E45" s="8" t="n"/>
      <c r="F45" s="11" t="n"/>
      <c r="G45" s="14">
        <f>IF($F45="","",IF(기본설정!$C$9="일반과세자",ROUND($F45*기본설정!$C$15,0),0))</f>
        <v/>
      </c>
      <c r="H45" s="15">
        <f>IF($F45="","",$F45+$G45)</f>
        <v/>
      </c>
      <c r="I45" s="8" t="n"/>
      <c r="J45" s="8" t="n"/>
      <c r="K45" s="14">
        <f>IF($F45="","",IF($I45="예",ROUND($F45*기본설정!$C$14,0),0))</f>
        <v/>
      </c>
      <c r="L45" s="8" t="n"/>
    </row>
    <row r="46">
      <c r="B46" s="13" t="n"/>
      <c r="C46" s="8" t="n"/>
      <c r="D46" s="8" t="n"/>
      <c r="E46" s="8" t="n"/>
      <c r="F46" s="11" t="n"/>
      <c r="G46" s="14">
        <f>IF($F46="","",IF(기본설정!$C$9="일반과세자",ROUND($F46*기본설정!$C$15,0),0))</f>
        <v/>
      </c>
      <c r="H46" s="15">
        <f>IF($F46="","",$F46+$G46)</f>
        <v/>
      </c>
      <c r="I46" s="8" t="n"/>
      <c r="J46" s="8" t="n"/>
      <c r="K46" s="14">
        <f>IF($F46="","",IF($I46="예",ROUND($F46*기본설정!$C$14,0),0))</f>
        <v/>
      </c>
      <c r="L46" s="8" t="n"/>
    </row>
    <row r="47">
      <c r="B47" s="13" t="n"/>
      <c r="C47" s="8" t="n"/>
      <c r="D47" s="8" t="n"/>
      <c r="E47" s="8" t="n"/>
      <c r="F47" s="11" t="n"/>
      <c r="G47" s="14">
        <f>IF($F47="","",IF(기본설정!$C$9="일반과세자",ROUND($F47*기본설정!$C$15,0),0))</f>
        <v/>
      </c>
      <c r="H47" s="15">
        <f>IF($F47="","",$F47+$G47)</f>
        <v/>
      </c>
      <c r="I47" s="8" t="n"/>
      <c r="J47" s="8" t="n"/>
      <c r="K47" s="14">
        <f>IF($F47="","",IF($I47="예",ROUND($F47*기본설정!$C$14,0),0))</f>
        <v/>
      </c>
      <c r="L47" s="8" t="n"/>
    </row>
    <row r="48">
      <c r="B48" s="13" t="n"/>
      <c r="C48" s="8" t="n"/>
      <c r="D48" s="8" t="n"/>
      <c r="E48" s="8" t="n"/>
      <c r="F48" s="11" t="n"/>
      <c r="G48" s="14">
        <f>IF($F48="","",IF(기본설정!$C$9="일반과세자",ROUND($F48*기본설정!$C$15,0),0))</f>
        <v/>
      </c>
      <c r="H48" s="15">
        <f>IF($F48="","",$F48+$G48)</f>
        <v/>
      </c>
      <c r="I48" s="8" t="n"/>
      <c r="J48" s="8" t="n"/>
      <c r="K48" s="14">
        <f>IF($F48="","",IF($I48="예",ROUND($F48*기본설정!$C$14,0),0))</f>
        <v/>
      </c>
      <c r="L48" s="8" t="n"/>
    </row>
    <row r="49">
      <c r="B49" s="13" t="n"/>
      <c r="C49" s="8" t="n"/>
      <c r="D49" s="8" t="n"/>
      <c r="E49" s="8" t="n"/>
      <c r="F49" s="11" t="n"/>
      <c r="G49" s="14">
        <f>IF($F49="","",IF(기본설정!$C$9="일반과세자",ROUND($F49*기본설정!$C$15,0),0))</f>
        <v/>
      </c>
      <c r="H49" s="15">
        <f>IF($F49="","",$F49+$G49)</f>
        <v/>
      </c>
      <c r="I49" s="8" t="n"/>
      <c r="J49" s="8" t="n"/>
      <c r="K49" s="14">
        <f>IF($F49="","",IF($I49="예",ROUND($F49*기본설정!$C$14,0),0))</f>
        <v/>
      </c>
      <c r="L49" s="8" t="n"/>
    </row>
    <row r="50">
      <c r="B50" s="13" t="n"/>
      <c r="C50" s="8" t="n"/>
      <c r="D50" s="8" t="n"/>
      <c r="E50" s="8" t="n"/>
      <c r="F50" s="11" t="n"/>
      <c r="G50" s="14">
        <f>IF($F50="","",IF(기본설정!$C$9="일반과세자",ROUND($F50*기본설정!$C$15,0),0))</f>
        <v/>
      </c>
      <c r="H50" s="15">
        <f>IF($F50="","",$F50+$G50)</f>
        <v/>
      </c>
      <c r="I50" s="8" t="n"/>
      <c r="J50" s="8" t="n"/>
      <c r="K50" s="14">
        <f>IF($F50="","",IF($I50="예",ROUND($F50*기본설정!$C$14,0),0))</f>
        <v/>
      </c>
      <c r="L50" s="8" t="n"/>
    </row>
    <row r="51">
      <c r="B51" s="13" t="n"/>
      <c r="C51" s="8" t="n"/>
      <c r="D51" s="8" t="n"/>
      <c r="E51" s="8" t="n"/>
      <c r="F51" s="11" t="n"/>
      <c r="G51" s="14">
        <f>IF($F51="","",IF(기본설정!$C$9="일반과세자",ROUND($F51*기본설정!$C$15,0),0))</f>
        <v/>
      </c>
      <c r="H51" s="15">
        <f>IF($F51="","",$F51+$G51)</f>
        <v/>
      </c>
      <c r="I51" s="8" t="n"/>
      <c r="J51" s="8" t="n"/>
      <c r="K51" s="14">
        <f>IF($F51="","",IF($I51="예",ROUND($F51*기본설정!$C$14,0),0))</f>
        <v/>
      </c>
      <c r="L51" s="8" t="n"/>
    </row>
    <row r="52">
      <c r="B52" s="13" t="n"/>
      <c r="C52" s="8" t="n"/>
      <c r="D52" s="8" t="n"/>
      <c r="E52" s="8" t="n"/>
      <c r="F52" s="11" t="n"/>
      <c r="G52" s="14">
        <f>IF($F52="","",IF(기본설정!$C$9="일반과세자",ROUND($F52*기본설정!$C$15,0),0))</f>
        <v/>
      </c>
      <c r="H52" s="15">
        <f>IF($F52="","",$F52+$G52)</f>
        <v/>
      </c>
      <c r="I52" s="8" t="n"/>
      <c r="J52" s="8" t="n"/>
      <c r="K52" s="14">
        <f>IF($F52="","",IF($I52="예",ROUND($F52*기본설정!$C$14,0),0))</f>
        <v/>
      </c>
      <c r="L52" s="8" t="n"/>
    </row>
    <row r="53">
      <c r="B53" s="13" t="n"/>
      <c r="C53" s="8" t="n"/>
      <c r="D53" s="8" t="n"/>
      <c r="E53" s="8" t="n"/>
      <c r="F53" s="11" t="n"/>
      <c r="G53" s="14">
        <f>IF($F53="","",IF(기본설정!$C$9="일반과세자",ROUND($F53*기본설정!$C$15,0),0))</f>
        <v/>
      </c>
      <c r="H53" s="15">
        <f>IF($F53="","",$F53+$G53)</f>
        <v/>
      </c>
      <c r="I53" s="8" t="n"/>
      <c r="J53" s="8" t="n"/>
      <c r="K53" s="14">
        <f>IF($F53="","",IF($I53="예",ROUND($F53*기본설정!$C$14,0),0))</f>
        <v/>
      </c>
      <c r="L53" s="8" t="n"/>
    </row>
    <row r="54">
      <c r="B54" s="13" t="n"/>
      <c r="C54" s="8" t="n"/>
      <c r="D54" s="8" t="n"/>
      <c r="E54" s="8" t="n"/>
      <c r="F54" s="11" t="n"/>
      <c r="G54" s="14">
        <f>IF($F54="","",IF(기본설정!$C$9="일반과세자",ROUND($F54*기본설정!$C$15,0),0))</f>
        <v/>
      </c>
      <c r="H54" s="15">
        <f>IF($F54="","",$F54+$G54)</f>
        <v/>
      </c>
      <c r="I54" s="8" t="n"/>
      <c r="J54" s="8" t="n"/>
      <c r="K54" s="14">
        <f>IF($F54="","",IF($I54="예",ROUND($F54*기본설정!$C$14,0),0))</f>
        <v/>
      </c>
      <c r="L54" s="8" t="n"/>
    </row>
    <row r="55">
      <c r="B55" s="13" t="n"/>
      <c r="C55" s="8" t="n"/>
      <c r="D55" s="8" t="n"/>
      <c r="E55" s="8" t="n"/>
      <c r="F55" s="11" t="n"/>
      <c r="G55" s="14">
        <f>IF($F55="","",IF(기본설정!$C$9="일반과세자",ROUND($F55*기본설정!$C$15,0),0))</f>
        <v/>
      </c>
      <c r="H55" s="15">
        <f>IF($F55="","",$F55+$G55)</f>
        <v/>
      </c>
      <c r="I55" s="8" t="n"/>
      <c r="J55" s="8" t="n"/>
      <c r="K55" s="14">
        <f>IF($F55="","",IF($I55="예",ROUND($F55*기본설정!$C$14,0),0))</f>
        <v/>
      </c>
      <c r="L55" s="8" t="n"/>
    </row>
    <row r="56">
      <c r="B56" s="13" t="n"/>
      <c r="C56" s="8" t="n"/>
      <c r="D56" s="8" t="n"/>
      <c r="E56" s="8" t="n"/>
      <c r="F56" s="11" t="n"/>
      <c r="G56" s="14">
        <f>IF($F56="","",IF(기본설정!$C$9="일반과세자",ROUND($F56*기본설정!$C$15,0),0))</f>
        <v/>
      </c>
      <c r="H56" s="15">
        <f>IF($F56="","",$F56+$G56)</f>
        <v/>
      </c>
      <c r="I56" s="8" t="n"/>
      <c r="J56" s="8" t="n"/>
      <c r="K56" s="14">
        <f>IF($F56="","",IF($I56="예",ROUND($F56*기본설정!$C$14,0),0))</f>
        <v/>
      </c>
      <c r="L56" s="8" t="n"/>
    </row>
    <row r="57">
      <c r="B57" s="13" t="n"/>
      <c r="C57" s="8" t="n"/>
      <c r="D57" s="8" t="n"/>
      <c r="E57" s="8" t="n"/>
      <c r="F57" s="11" t="n"/>
      <c r="G57" s="14">
        <f>IF($F57="","",IF(기본설정!$C$9="일반과세자",ROUND($F57*기본설정!$C$15,0),0))</f>
        <v/>
      </c>
      <c r="H57" s="15">
        <f>IF($F57="","",$F57+$G57)</f>
        <v/>
      </c>
      <c r="I57" s="8" t="n"/>
      <c r="J57" s="8" t="n"/>
      <c r="K57" s="14">
        <f>IF($F57="","",IF($I57="예",ROUND($F57*기본설정!$C$14,0),0))</f>
        <v/>
      </c>
      <c r="L57" s="8" t="n"/>
    </row>
    <row r="58">
      <c r="B58" s="13" t="n"/>
      <c r="C58" s="8" t="n"/>
      <c r="D58" s="8" t="n"/>
      <c r="E58" s="8" t="n"/>
      <c r="F58" s="11" t="n"/>
      <c r="G58" s="14">
        <f>IF($F58="","",IF(기본설정!$C$9="일반과세자",ROUND($F58*기본설정!$C$15,0),0))</f>
        <v/>
      </c>
      <c r="H58" s="15">
        <f>IF($F58="","",$F58+$G58)</f>
        <v/>
      </c>
      <c r="I58" s="8" t="n"/>
      <c r="J58" s="8" t="n"/>
      <c r="K58" s="14">
        <f>IF($F58="","",IF($I58="예",ROUND($F58*기본설정!$C$14,0),0))</f>
        <v/>
      </c>
      <c r="L58" s="8" t="n"/>
    </row>
    <row r="59">
      <c r="B59" s="13" t="n"/>
      <c r="C59" s="8" t="n"/>
      <c r="D59" s="8" t="n"/>
      <c r="E59" s="8" t="n"/>
      <c r="F59" s="11" t="n"/>
      <c r="G59" s="14">
        <f>IF($F59="","",IF(기본설정!$C$9="일반과세자",ROUND($F59*기본설정!$C$15,0),0))</f>
        <v/>
      </c>
      <c r="H59" s="15">
        <f>IF($F59="","",$F59+$G59)</f>
        <v/>
      </c>
      <c r="I59" s="8" t="n"/>
      <c r="J59" s="8" t="n"/>
      <c r="K59" s="14">
        <f>IF($F59="","",IF($I59="예",ROUND($F59*기본설정!$C$14,0),0))</f>
        <v/>
      </c>
      <c r="L59" s="8" t="n"/>
    </row>
    <row r="60">
      <c r="B60" s="13" t="n"/>
      <c r="C60" s="8" t="n"/>
      <c r="D60" s="8" t="n"/>
      <c r="E60" s="8" t="n"/>
      <c r="F60" s="11" t="n"/>
      <c r="G60" s="14">
        <f>IF($F60="","",IF(기본설정!$C$9="일반과세자",ROUND($F60*기본설정!$C$15,0),0))</f>
        <v/>
      </c>
      <c r="H60" s="15">
        <f>IF($F60="","",$F60+$G60)</f>
        <v/>
      </c>
      <c r="I60" s="8" t="n"/>
      <c r="J60" s="8" t="n"/>
      <c r="K60" s="14">
        <f>IF($F60="","",IF($I60="예",ROUND($F60*기본설정!$C$14,0),0))</f>
        <v/>
      </c>
      <c r="L60" s="8" t="n"/>
    </row>
    <row r="61">
      <c r="B61" s="13" t="n"/>
      <c r="C61" s="8" t="n"/>
      <c r="D61" s="8" t="n"/>
      <c r="E61" s="8" t="n"/>
      <c r="F61" s="11" t="n"/>
      <c r="G61" s="14">
        <f>IF($F61="","",IF(기본설정!$C$9="일반과세자",ROUND($F61*기본설정!$C$15,0),0))</f>
        <v/>
      </c>
      <c r="H61" s="15">
        <f>IF($F61="","",$F61+$G61)</f>
        <v/>
      </c>
      <c r="I61" s="8" t="n"/>
      <c r="J61" s="8" t="n"/>
      <c r="K61" s="14">
        <f>IF($F61="","",IF($I61="예",ROUND($F61*기본설정!$C$14,0),0))</f>
        <v/>
      </c>
      <c r="L61" s="8" t="n"/>
    </row>
    <row r="62">
      <c r="B62" s="13" t="n"/>
      <c r="C62" s="8" t="n"/>
      <c r="D62" s="8" t="n"/>
      <c r="E62" s="8" t="n"/>
      <c r="F62" s="11" t="n"/>
      <c r="G62" s="14">
        <f>IF($F62="","",IF(기본설정!$C$9="일반과세자",ROUND($F62*기본설정!$C$15,0),0))</f>
        <v/>
      </c>
      <c r="H62" s="15">
        <f>IF($F62="","",$F62+$G62)</f>
        <v/>
      </c>
      <c r="I62" s="8" t="n"/>
      <c r="J62" s="8" t="n"/>
      <c r="K62" s="14">
        <f>IF($F62="","",IF($I62="예",ROUND($F62*기본설정!$C$14,0),0))</f>
        <v/>
      </c>
      <c r="L62" s="8" t="n"/>
    </row>
    <row r="63">
      <c r="B63" s="13" t="n"/>
      <c r="C63" s="8" t="n"/>
      <c r="D63" s="8" t="n"/>
      <c r="E63" s="8" t="n"/>
      <c r="F63" s="11" t="n"/>
      <c r="G63" s="14">
        <f>IF($F63="","",IF(기본설정!$C$9="일반과세자",ROUND($F63*기본설정!$C$15,0),0))</f>
        <v/>
      </c>
      <c r="H63" s="15">
        <f>IF($F63="","",$F63+$G63)</f>
        <v/>
      </c>
      <c r="I63" s="8" t="n"/>
      <c r="J63" s="8" t="n"/>
      <c r="K63" s="14">
        <f>IF($F63="","",IF($I63="예",ROUND($F63*기본설정!$C$14,0),0))</f>
        <v/>
      </c>
      <c r="L63" s="8" t="n"/>
    </row>
    <row r="64">
      <c r="B64" s="13" t="n"/>
      <c r="C64" s="8" t="n"/>
      <c r="D64" s="8" t="n"/>
      <c r="E64" s="8" t="n"/>
      <c r="F64" s="11" t="n"/>
      <c r="G64" s="14">
        <f>IF($F64="","",IF(기본설정!$C$9="일반과세자",ROUND($F64*기본설정!$C$15,0),0))</f>
        <v/>
      </c>
      <c r="H64" s="15">
        <f>IF($F64="","",$F64+$G64)</f>
        <v/>
      </c>
      <c r="I64" s="8" t="n"/>
      <c r="J64" s="8" t="n"/>
      <c r="K64" s="14">
        <f>IF($F64="","",IF($I64="예",ROUND($F64*기본설정!$C$14,0),0))</f>
        <v/>
      </c>
      <c r="L64" s="8" t="n"/>
    </row>
    <row r="65">
      <c r="B65" s="13" t="n"/>
      <c r="C65" s="8" t="n"/>
      <c r="D65" s="8" t="n"/>
      <c r="E65" s="8" t="n"/>
      <c r="F65" s="11" t="n"/>
      <c r="G65" s="14">
        <f>IF($F65="","",IF(기본설정!$C$9="일반과세자",ROUND($F65*기본설정!$C$15,0),0))</f>
        <v/>
      </c>
      <c r="H65" s="15">
        <f>IF($F65="","",$F65+$G65)</f>
        <v/>
      </c>
      <c r="I65" s="8" t="n"/>
      <c r="J65" s="8" t="n"/>
      <c r="K65" s="14">
        <f>IF($F65="","",IF($I65="예",ROUND($F65*기본설정!$C$14,0),0))</f>
        <v/>
      </c>
      <c r="L65" s="8" t="n"/>
    </row>
    <row r="66">
      <c r="B66" s="13" t="n"/>
      <c r="C66" s="8" t="n"/>
      <c r="D66" s="8" t="n"/>
      <c r="E66" s="8" t="n"/>
      <c r="F66" s="11" t="n"/>
      <c r="G66" s="14">
        <f>IF($F66="","",IF(기본설정!$C$9="일반과세자",ROUND($F66*기본설정!$C$15,0),0))</f>
        <v/>
      </c>
      <c r="H66" s="15">
        <f>IF($F66="","",$F66+$G66)</f>
        <v/>
      </c>
      <c r="I66" s="8" t="n"/>
      <c r="J66" s="8" t="n"/>
      <c r="K66" s="14">
        <f>IF($F66="","",IF($I66="예",ROUND($F66*기본설정!$C$14,0),0))</f>
        <v/>
      </c>
      <c r="L66" s="8" t="n"/>
    </row>
    <row r="67">
      <c r="B67" s="13" t="n"/>
      <c r="C67" s="8" t="n"/>
      <c r="D67" s="8" t="n"/>
      <c r="E67" s="8" t="n"/>
      <c r="F67" s="11" t="n"/>
      <c r="G67" s="14">
        <f>IF($F67="","",IF(기본설정!$C$9="일반과세자",ROUND($F67*기본설정!$C$15,0),0))</f>
        <v/>
      </c>
      <c r="H67" s="15">
        <f>IF($F67="","",$F67+$G67)</f>
        <v/>
      </c>
      <c r="I67" s="8" t="n"/>
      <c r="J67" s="8" t="n"/>
      <c r="K67" s="14">
        <f>IF($F67="","",IF($I67="예",ROUND($F67*기본설정!$C$14,0),0))</f>
        <v/>
      </c>
      <c r="L67" s="8" t="n"/>
    </row>
    <row r="68">
      <c r="B68" s="13" t="n"/>
      <c r="C68" s="8" t="n"/>
      <c r="D68" s="8" t="n"/>
      <c r="E68" s="8" t="n"/>
      <c r="F68" s="11" t="n"/>
      <c r="G68" s="14">
        <f>IF($F68="","",IF(기본설정!$C$9="일반과세자",ROUND($F68*기본설정!$C$15,0),0))</f>
        <v/>
      </c>
      <c r="H68" s="15">
        <f>IF($F68="","",$F68+$G68)</f>
        <v/>
      </c>
      <c r="I68" s="8" t="n"/>
      <c r="J68" s="8" t="n"/>
      <c r="K68" s="14">
        <f>IF($F68="","",IF($I68="예",ROUND($F68*기본설정!$C$14,0),0))</f>
        <v/>
      </c>
      <c r="L68" s="8" t="n"/>
    </row>
    <row r="69">
      <c r="B69" s="13" t="n"/>
      <c r="C69" s="8" t="n"/>
      <c r="D69" s="8" t="n"/>
      <c r="E69" s="8" t="n"/>
      <c r="F69" s="11" t="n"/>
      <c r="G69" s="14">
        <f>IF($F69="","",IF(기본설정!$C$9="일반과세자",ROUND($F69*기본설정!$C$15,0),0))</f>
        <v/>
      </c>
      <c r="H69" s="15">
        <f>IF($F69="","",$F69+$G69)</f>
        <v/>
      </c>
      <c r="I69" s="8" t="n"/>
      <c r="J69" s="8" t="n"/>
      <c r="K69" s="14">
        <f>IF($F69="","",IF($I69="예",ROUND($F69*기본설정!$C$14,0),0))</f>
        <v/>
      </c>
      <c r="L69" s="8" t="n"/>
    </row>
    <row r="70">
      <c r="B70" s="13" t="n"/>
      <c r="C70" s="8" t="n"/>
      <c r="D70" s="8" t="n"/>
      <c r="E70" s="8" t="n"/>
      <c r="F70" s="11" t="n"/>
      <c r="G70" s="14">
        <f>IF($F70="","",IF(기본설정!$C$9="일반과세자",ROUND($F70*기본설정!$C$15,0),0))</f>
        <v/>
      </c>
      <c r="H70" s="15">
        <f>IF($F70="","",$F70+$G70)</f>
        <v/>
      </c>
      <c r="I70" s="8" t="n"/>
      <c r="J70" s="8" t="n"/>
      <c r="K70" s="14">
        <f>IF($F70="","",IF($I70="예",ROUND($F70*기본설정!$C$14,0),0))</f>
        <v/>
      </c>
      <c r="L70" s="8" t="n"/>
    </row>
    <row r="71">
      <c r="B71" s="13" t="n"/>
      <c r="C71" s="8" t="n"/>
      <c r="D71" s="8" t="n"/>
      <c r="E71" s="8" t="n"/>
      <c r="F71" s="11" t="n"/>
      <c r="G71" s="14">
        <f>IF($F71="","",IF(기본설정!$C$9="일반과세자",ROUND($F71*기본설정!$C$15,0),0))</f>
        <v/>
      </c>
      <c r="H71" s="15">
        <f>IF($F71="","",$F71+$G71)</f>
        <v/>
      </c>
      <c r="I71" s="8" t="n"/>
      <c r="J71" s="8" t="n"/>
      <c r="K71" s="14">
        <f>IF($F71="","",IF($I71="예",ROUND($F71*기본설정!$C$14,0),0))</f>
        <v/>
      </c>
      <c r="L71" s="8" t="n"/>
    </row>
    <row r="72">
      <c r="B72" s="13" t="n"/>
      <c r="C72" s="8" t="n"/>
      <c r="D72" s="8" t="n"/>
      <c r="E72" s="8" t="n"/>
      <c r="F72" s="11" t="n"/>
      <c r="G72" s="14">
        <f>IF($F72="","",IF(기본설정!$C$9="일반과세자",ROUND($F72*기본설정!$C$15,0),0))</f>
        <v/>
      </c>
      <c r="H72" s="15">
        <f>IF($F72="","",$F72+$G72)</f>
        <v/>
      </c>
      <c r="I72" s="8" t="n"/>
      <c r="J72" s="8" t="n"/>
      <c r="K72" s="14">
        <f>IF($F72="","",IF($I72="예",ROUND($F72*기본설정!$C$14,0),0))</f>
        <v/>
      </c>
      <c r="L72" s="8" t="n"/>
    </row>
    <row r="73">
      <c r="B73" s="13" t="n"/>
      <c r="C73" s="8" t="n"/>
      <c r="D73" s="8" t="n"/>
      <c r="E73" s="8" t="n"/>
      <c r="F73" s="11" t="n"/>
      <c r="G73" s="14">
        <f>IF($F73="","",IF(기본설정!$C$9="일반과세자",ROUND($F73*기본설정!$C$15,0),0))</f>
        <v/>
      </c>
      <c r="H73" s="15">
        <f>IF($F73="","",$F73+$G73)</f>
        <v/>
      </c>
      <c r="I73" s="8" t="n"/>
      <c r="J73" s="8" t="n"/>
      <c r="K73" s="14">
        <f>IF($F73="","",IF($I73="예",ROUND($F73*기본설정!$C$14,0),0))</f>
        <v/>
      </c>
      <c r="L73" s="8" t="n"/>
    </row>
    <row r="74">
      <c r="B74" s="13" t="n"/>
      <c r="C74" s="8" t="n"/>
      <c r="D74" s="8" t="n"/>
      <c r="E74" s="8" t="n"/>
      <c r="F74" s="11" t="n"/>
      <c r="G74" s="14">
        <f>IF($F74="","",IF(기본설정!$C$9="일반과세자",ROUND($F74*기본설정!$C$15,0),0))</f>
        <v/>
      </c>
      <c r="H74" s="15">
        <f>IF($F74="","",$F74+$G74)</f>
        <v/>
      </c>
      <c r="I74" s="8" t="n"/>
      <c r="J74" s="8" t="n"/>
      <c r="K74" s="14">
        <f>IF($F74="","",IF($I74="예",ROUND($F74*기본설정!$C$14,0),0))</f>
        <v/>
      </c>
      <c r="L74" s="8" t="n"/>
    </row>
    <row r="75">
      <c r="B75" s="13" t="n"/>
      <c r="C75" s="8" t="n"/>
      <c r="D75" s="8" t="n"/>
      <c r="E75" s="8" t="n"/>
      <c r="F75" s="11" t="n"/>
      <c r="G75" s="14">
        <f>IF($F75="","",IF(기본설정!$C$9="일반과세자",ROUND($F75*기본설정!$C$15,0),0))</f>
        <v/>
      </c>
      <c r="H75" s="15">
        <f>IF($F75="","",$F75+$G75)</f>
        <v/>
      </c>
      <c r="I75" s="8" t="n"/>
      <c r="J75" s="8" t="n"/>
      <c r="K75" s="14">
        <f>IF($F75="","",IF($I75="예",ROUND($F75*기본설정!$C$14,0),0))</f>
        <v/>
      </c>
      <c r="L75" s="8" t="n"/>
    </row>
    <row r="76">
      <c r="B76" s="13" t="n"/>
      <c r="C76" s="8" t="n"/>
      <c r="D76" s="8" t="n"/>
      <c r="E76" s="8" t="n"/>
      <c r="F76" s="11" t="n"/>
      <c r="G76" s="14">
        <f>IF($F76="","",IF(기본설정!$C$9="일반과세자",ROUND($F76*기본설정!$C$15,0),0))</f>
        <v/>
      </c>
      <c r="H76" s="15">
        <f>IF($F76="","",$F76+$G76)</f>
        <v/>
      </c>
      <c r="I76" s="8" t="n"/>
      <c r="J76" s="8" t="n"/>
      <c r="K76" s="14">
        <f>IF($F76="","",IF($I76="예",ROUND($F76*기본설정!$C$14,0),0))</f>
        <v/>
      </c>
      <c r="L76" s="8" t="n"/>
    </row>
    <row r="77">
      <c r="B77" s="13" t="n"/>
      <c r="C77" s="8" t="n"/>
      <c r="D77" s="8" t="n"/>
      <c r="E77" s="8" t="n"/>
      <c r="F77" s="11" t="n"/>
      <c r="G77" s="14">
        <f>IF($F77="","",IF(기본설정!$C$9="일반과세자",ROUND($F77*기본설정!$C$15,0),0))</f>
        <v/>
      </c>
      <c r="H77" s="15">
        <f>IF($F77="","",$F77+$G77)</f>
        <v/>
      </c>
      <c r="I77" s="8" t="n"/>
      <c r="J77" s="8" t="n"/>
      <c r="K77" s="14">
        <f>IF($F77="","",IF($I77="예",ROUND($F77*기본설정!$C$14,0),0))</f>
        <v/>
      </c>
      <c r="L77" s="8" t="n"/>
    </row>
    <row r="78">
      <c r="B78" s="13" t="n"/>
      <c r="C78" s="8" t="n"/>
      <c r="D78" s="8" t="n"/>
      <c r="E78" s="8" t="n"/>
      <c r="F78" s="11" t="n"/>
      <c r="G78" s="14">
        <f>IF($F78="","",IF(기본설정!$C$9="일반과세자",ROUND($F78*기본설정!$C$15,0),0))</f>
        <v/>
      </c>
      <c r="H78" s="15">
        <f>IF($F78="","",$F78+$G78)</f>
        <v/>
      </c>
      <c r="I78" s="8" t="n"/>
      <c r="J78" s="8" t="n"/>
      <c r="K78" s="14">
        <f>IF($F78="","",IF($I78="예",ROUND($F78*기본설정!$C$14,0),0))</f>
        <v/>
      </c>
      <c r="L78" s="8" t="n"/>
    </row>
    <row r="79">
      <c r="B79" s="13" t="n"/>
      <c r="C79" s="8" t="n"/>
      <c r="D79" s="8" t="n"/>
      <c r="E79" s="8" t="n"/>
      <c r="F79" s="11" t="n"/>
      <c r="G79" s="14">
        <f>IF($F79="","",IF(기본설정!$C$9="일반과세자",ROUND($F79*기본설정!$C$15,0),0))</f>
        <v/>
      </c>
      <c r="H79" s="15">
        <f>IF($F79="","",$F79+$G79)</f>
        <v/>
      </c>
      <c r="I79" s="8" t="n"/>
      <c r="J79" s="8" t="n"/>
      <c r="K79" s="14">
        <f>IF($F79="","",IF($I79="예",ROUND($F79*기본설정!$C$14,0),0))</f>
        <v/>
      </c>
      <c r="L79" s="8" t="n"/>
    </row>
    <row r="80">
      <c r="B80" s="13" t="n"/>
      <c r="C80" s="8" t="n"/>
      <c r="D80" s="8" t="n"/>
      <c r="E80" s="8" t="n"/>
      <c r="F80" s="11" t="n"/>
      <c r="G80" s="14">
        <f>IF($F80="","",IF(기본설정!$C$9="일반과세자",ROUND($F80*기본설정!$C$15,0),0))</f>
        <v/>
      </c>
      <c r="H80" s="15">
        <f>IF($F80="","",$F80+$G80)</f>
        <v/>
      </c>
      <c r="I80" s="8" t="n"/>
      <c r="J80" s="8" t="n"/>
      <c r="K80" s="14">
        <f>IF($F80="","",IF($I80="예",ROUND($F80*기본설정!$C$14,0),0))</f>
        <v/>
      </c>
      <c r="L80" s="8" t="n"/>
    </row>
    <row r="81">
      <c r="B81" s="13" t="n"/>
      <c r="C81" s="8" t="n"/>
      <c r="D81" s="8" t="n"/>
      <c r="E81" s="8" t="n"/>
      <c r="F81" s="11" t="n"/>
      <c r="G81" s="14">
        <f>IF($F81="","",IF(기본설정!$C$9="일반과세자",ROUND($F81*기본설정!$C$15,0),0))</f>
        <v/>
      </c>
      <c r="H81" s="15">
        <f>IF($F81="","",$F81+$G81)</f>
        <v/>
      </c>
      <c r="I81" s="8" t="n"/>
      <c r="J81" s="8" t="n"/>
      <c r="K81" s="14">
        <f>IF($F81="","",IF($I81="예",ROUND($F81*기본설정!$C$14,0),0))</f>
        <v/>
      </c>
      <c r="L81" s="8" t="n"/>
    </row>
    <row r="82">
      <c r="B82" s="13" t="n"/>
      <c r="C82" s="8" t="n"/>
      <c r="D82" s="8" t="n"/>
      <c r="E82" s="8" t="n"/>
      <c r="F82" s="11" t="n"/>
      <c r="G82" s="14">
        <f>IF($F82="","",IF(기본설정!$C$9="일반과세자",ROUND($F82*기본설정!$C$15,0),0))</f>
        <v/>
      </c>
      <c r="H82" s="15">
        <f>IF($F82="","",$F82+$G82)</f>
        <v/>
      </c>
      <c r="I82" s="8" t="n"/>
      <c r="J82" s="8" t="n"/>
      <c r="K82" s="14">
        <f>IF($F82="","",IF($I82="예",ROUND($F82*기본설정!$C$14,0),0))</f>
        <v/>
      </c>
      <c r="L82" s="8" t="n"/>
    </row>
    <row r="83">
      <c r="B83" s="13" t="n"/>
      <c r="C83" s="8" t="n"/>
      <c r="D83" s="8" t="n"/>
      <c r="E83" s="8" t="n"/>
      <c r="F83" s="11" t="n"/>
      <c r="G83" s="14">
        <f>IF($F83="","",IF(기본설정!$C$9="일반과세자",ROUND($F83*기본설정!$C$15,0),0))</f>
        <v/>
      </c>
      <c r="H83" s="15">
        <f>IF($F83="","",$F83+$G83)</f>
        <v/>
      </c>
      <c r="I83" s="8" t="n"/>
      <c r="J83" s="8" t="n"/>
      <c r="K83" s="14">
        <f>IF($F83="","",IF($I83="예",ROUND($F83*기본설정!$C$14,0),0))</f>
        <v/>
      </c>
      <c r="L83" s="8" t="n"/>
    </row>
    <row r="84">
      <c r="B84" s="13" t="n"/>
      <c r="C84" s="8" t="n"/>
      <c r="D84" s="8" t="n"/>
      <c r="E84" s="8" t="n"/>
      <c r="F84" s="11" t="n"/>
      <c r="G84" s="14">
        <f>IF($F84="","",IF(기본설정!$C$9="일반과세자",ROUND($F84*기본설정!$C$15,0),0))</f>
        <v/>
      </c>
      <c r="H84" s="15">
        <f>IF($F84="","",$F84+$G84)</f>
        <v/>
      </c>
      <c r="I84" s="8" t="n"/>
      <c r="J84" s="8" t="n"/>
      <c r="K84" s="14">
        <f>IF($F84="","",IF($I84="예",ROUND($F84*기본설정!$C$14,0),0))</f>
        <v/>
      </c>
      <c r="L84" s="8" t="n"/>
    </row>
    <row r="85">
      <c r="B85" s="13" t="n"/>
      <c r="C85" s="8" t="n"/>
      <c r="D85" s="8" t="n"/>
      <c r="E85" s="8" t="n"/>
      <c r="F85" s="11" t="n"/>
      <c r="G85" s="14">
        <f>IF($F85="","",IF(기본설정!$C$9="일반과세자",ROUND($F85*기본설정!$C$15,0),0))</f>
        <v/>
      </c>
      <c r="H85" s="15">
        <f>IF($F85="","",$F85+$G85)</f>
        <v/>
      </c>
      <c r="I85" s="8" t="n"/>
      <c r="J85" s="8" t="n"/>
      <c r="K85" s="14">
        <f>IF($F85="","",IF($I85="예",ROUND($F85*기본설정!$C$14,0),0))</f>
        <v/>
      </c>
      <c r="L85" s="8" t="n"/>
    </row>
    <row r="86">
      <c r="B86" s="13" t="n"/>
      <c r="C86" s="8" t="n"/>
      <c r="D86" s="8" t="n"/>
      <c r="E86" s="8" t="n"/>
      <c r="F86" s="11" t="n"/>
      <c r="G86" s="14">
        <f>IF($F86="","",IF(기본설정!$C$9="일반과세자",ROUND($F86*기본설정!$C$15,0),0))</f>
        <v/>
      </c>
      <c r="H86" s="15">
        <f>IF($F86="","",$F86+$G86)</f>
        <v/>
      </c>
      <c r="I86" s="8" t="n"/>
      <c r="J86" s="8" t="n"/>
      <c r="K86" s="14">
        <f>IF($F86="","",IF($I86="예",ROUND($F86*기본설정!$C$14,0),0))</f>
        <v/>
      </c>
      <c r="L86" s="8" t="n"/>
    </row>
    <row r="87">
      <c r="B87" s="13" t="n"/>
      <c r="C87" s="8" t="n"/>
      <c r="D87" s="8" t="n"/>
      <c r="E87" s="8" t="n"/>
      <c r="F87" s="11" t="n"/>
      <c r="G87" s="14">
        <f>IF($F87="","",IF(기본설정!$C$9="일반과세자",ROUND($F87*기본설정!$C$15,0),0))</f>
        <v/>
      </c>
      <c r="H87" s="15">
        <f>IF($F87="","",$F87+$G87)</f>
        <v/>
      </c>
      <c r="I87" s="8" t="n"/>
      <c r="J87" s="8" t="n"/>
      <c r="K87" s="14">
        <f>IF($F87="","",IF($I87="예",ROUND($F87*기본설정!$C$14,0),0))</f>
        <v/>
      </c>
      <c r="L87" s="8" t="n"/>
    </row>
    <row r="88">
      <c r="B88" s="13" t="n"/>
      <c r="C88" s="8" t="n"/>
      <c r="D88" s="8" t="n"/>
      <c r="E88" s="8" t="n"/>
      <c r="F88" s="11" t="n"/>
      <c r="G88" s="14">
        <f>IF($F88="","",IF(기본설정!$C$9="일반과세자",ROUND($F88*기본설정!$C$15,0),0))</f>
        <v/>
      </c>
      <c r="H88" s="15">
        <f>IF($F88="","",$F88+$G88)</f>
        <v/>
      </c>
      <c r="I88" s="8" t="n"/>
      <c r="J88" s="8" t="n"/>
      <c r="K88" s="14">
        <f>IF($F88="","",IF($I88="예",ROUND($F88*기본설정!$C$14,0),0))</f>
        <v/>
      </c>
      <c r="L88" s="8" t="n"/>
    </row>
    <row r="89">
      <c r="B89" s="13" t="n"/>
      <c r="C89" s="8" t="n"/>
      <c r="D89" s="8" t="n"/>
      <c r="E89" s="8" t="n"/>
      <c r="F89" s="11" t="n"/>
      <c r="G89" s="14">
        <f>IF($F89="","",IF(기본설정!$C$9="일반과세자",ROUND($F89*기본설정!$C$15,0),0))</f>
        <v/>
      </c>
      <c r="H89" s="15">
        <f>IF($F89="","",$F89+$G89)</f>
        <v/>
      </c>
      <c r="I89" s="8" t="n"/>
      <c r="J89" s="8" t="n"/>
      <c r="K89" s="14">
        <f>IF($F89="","",IF($I89="예",ROUND($F89*기본설정!$C$14,0),0))</f>
        <v/>
      </c>
      <c r="L89" s="8" t="n"/>
    </row>
    <row r="90">
      <c r="B90" s="13" t="n"/>
      <c r="C90" s="8" t="n"/>
      <c r="D90" s="8" t="n"/>
      <c r="E90" s="8" t="n"/>
      <c r="F90" s="11" t="n"/>
      <c r="G90" s="14">
        <f>IF($F90="","",IF(기본설정!$C$9="일반과세자",ROUND($F90*기본설정!$C$15,0),0))</f>
        <v/>
      </c>
      <c r="H90" s="15">
        <f>IF($F90="","",$F90+$G90)</f>
        <v/>
      </c>
      <c r="I90" s="8" t="n"/>
      <c r="J90" s="8" t="n"/>
      <c r="K90" s="14">
        <f>IF($F90="","",IF($I90="예",ROUND($F90*기본설정!$C$14,0),0))</f>
        <v/>
      </c>
      <c r="L90" s="8" t="n"/>
    </row>
    <row r="91">
      <c r="B91" s="13" t="n"/>
      <c r="C91" s="8" t="n"/>
      <c r="D91" s="8" t="n"/>
      <c r="E91" s="8" t="n"/>
      <c r="F91" s="11" t="n"/>
      <c r="G91" s="14">
        <f>IF($F91="","",IF(기본설정!$C$9="일반과세자",ROUND($F91*기본설정!$C$15,0),0))</f>
        <v/>
      </c>
      <c r="H91" s="15">
        <f>IF($F91="","",$F91+$G91)</f>
        <v/>
      </c>
      <c r="I91" s="8" t="n"/>
      <c r="J91" s="8" t="n"/>
      <c r="K91" s="14">
        <f>IF($F91="","",IF($I91="예",ROUND($F91*기본설정!$C$14,0),0))</f>
        <v/>
      </c>
      <c r="L91" s="8" t="n"/>
    </row>
    <row r="92">
      <c r="B92" s="13" t="n"/>
      <c r="C92" s="8" t="n"/>
      <c r="D92" s="8" t="n"/>
      <c r="E92" s="8" t="n"/>
      <c r="F92" s="11" t="n"/>
      <c r="G92" s="14">
        <f>IF($F92="","",IF(기본설정!$C$9="일반과세자",ROUND($F92*기본설정!$C$15,0),0))</f>
        <v/>
      </c>
      <c r="H92" s="15">
        <f>IF($F92="","",$F92+$G92)</f>
        <v/>
      </c>
      <c r="I92" s="8" t="n"/>
      <c r="J92" s="8" t="n"/>
      <c r="K92" s="14">
        <f>IF($F92="","",IF($I92="예",ROUND($F92*기본설정!$C$14,0),0))</f>
        <v/>
      </c>
      <c r="L92" s="8" t="n"/>
    </row>
    <row r="93">
      <c r="B93" s="13" t="n"/>
      <c r="C93" s="8" t="n"/>
      <c r="D93" s="8" t="n"/>
      <c r="E93" s="8" t="n"/>
      <c r="F93" s="11" t="n"/>
      <c r="G93" s="14">
        <f>IF($F93="","",IF(기본설정!$C$9="일반과세자",ROUND($F93*기본설정!$C$15,0),0))</f>
        <v/>
      </c>
      <c r="H93" s="15">
        <f>IF($F93="","",$F93+$G93)</f>
        <v/>
      </c>
      <c r="I93" s="8" t="n"/>
      <c r="J93" s="8" t="n"/>
      <c r="K93" s="14">
        <f>IF($F93="","",IF($I93="예",ROUND($F93*기본설정!$C$14,0),0))</f>
        <v/>
      </c>
      <c r="L93" s="8" t="n"/>
    </row>
    <row r="94">
      <c r="B94" s="13" t="n"/>
      <c r="C94" s="8" t="n"/>
      <c r="D94" s="8" t="n"/>
      <c r="E94" s="8" t="n"/>
      <c r="F94" s="11" t="n"/>
      <c r="G94" s="14">
        <f>IF($F94="","",IF(기본설정!$C$9="일반과세자",ROUND($F94*기본설정!$C$15,0),0))</f>
        <v/>
      </c>
      <c r="H94" s="15">
        <f>IF($F94="","",$F94+$G94)</f>
        <v/>
      </c>
      <c r="I94" s="8" t="n"/>
      <c r="J94" s="8" t="n"/>
      <c r="K94" s="14">
        <f>IF($F94="","",IF($I94="예",ROUND($F94*기본설정!$C$14,0),0))</f>
        <v/>
      </c>
      <c r="L94" s="8" t="n"/>
    </row>
    <row r="95">
      <c r="B95" s="13" t="n"/>
      <c r="C95" s="8" t="n"/>
      <c r="D95" s="8" t="n"/>
      <c r="E95" s="8" t="n"/>
      <c r="F95" s="11" t="n"/>
      <c r="G95" s="14">
        <f>IF($F95="","",IF(기본설정!$C$9="일반과세자",ROUND($F95*기본설정!$C$15,0),0))</f>
        <v/>
      </c>
      <c r="H95" s="15">
        <f>IF($F95="","",$F95+$G95)</f>
        <v/>
      </c>
      <c r="I95" s="8" t="n"/>
      <c r="J95" s="8" t="n"/>
      <c r="K95" s="14">
        <f>IF($F95="","",IF($I95="예",ROUND($F95*기본설정!$C$14,0),0))</f>
        <v/>
      </c>
      <c r="L95" s="8" t="n"/>
    </row>
    <row r="96">
      <c r="B96" s="13" t="n"/>
      <c r="C96" s="8" t="n"/>
      <c r="D96" s="8" t="n"/>
      <c r="E96" s="8" t="n"/>
      <c r="F96" s="11" t="n"/>
      <c r="G96" s="14">
        <f>IF($F96="","",IF(기본설정!$C$9="일반과세자",ROUND($F96*기본설정!$C$15,0),0))</f>
        <v/>
      </c>
      <c r="H96" s="15">
        <f>IF($F96="","",$F96+$G96)</f>
        <v/>
      </c>
      <c r="I96" s="8" t="n"/>
      <c r="J96" s="8" t="n"/>
      <c r="K96" s="14">
        <f>IF($F96="","",IF($I96="예",ROUND($F96*기본설정!$C$14,0),0))</f>
        <v/>
      </c>
      <c r="L96" s="8" t="n"/>
    </row>
    <row r="97">
      <c r="B97" s="13" t="n"/>
      <c r="C97" s="8" t="n"/>
      <c r="D97" s="8" t="n"/>
      <c r="E97" s="8" t="n"/>
      <c r="F97" s="11" t="n"/>
      <c r="G97" s="14">
        <f>IF($F97="","",IF(기본설정!$C$9="일반과세자",ROUND($F97*기본설정!$C$15,0),0))</f>
        <v/>
      </c>
      <c r="H97" s="15">
        <f>IF($F97="","",$F97+$G97)</f>
        <v/>
      </c>
      <c r="I97" s="8" t="n"/>
      <c r="J97" s="8" t="n"/>
      <c r="K97" s="14">
        <f>IF($F97="","",IF($I97="예",ROUND($F97*기본설정!$C$14,0),0))</f>
        <v/>
      </c>
      <c r="L97" s="8" t="n"/>
    </row>
    <row r="98">
      <c r="B98" s="13" t="n"/>
      <c r="C98" s="8" t="n"/>
      <c r="D98" s="8" t="n"/>
      <c r="E98" s="8" t="n"/>
      <c r="F98" s="11" t="n"/>
      <c r="G98" s="14">
        <f>IF($F98="","",IF(기본설정!$C$9="일반과세자",ROUND($F98*기본설정!$C$15,0),0))</f>
        <v/>
      </c>
      <c r="H98" s="15">
        <f>IF($F98="","",$F98+$G98)</f>
        <v/>
      </c>
      <c r="I98" s="8" t="n"/>
      <c r="J98" s="8" t="n"/>
      <c r="K98" s="14">
        <f>IF($F98="","",IF($I98="예",ROUND($F98*기본설정!$C$14,0),0))</f>
        <v/>
      </c>
      <c r="L98" s="8" t="n"/>
    </row>
    <row r="99">
      <c r="B99" s="13" t="n"/>
      <c r="C99" s="8" t="n"/>
      <c r="D99" s="8" t="n"/>
      <c r="E99" s="8" t="n"/>
      <c r="F99" s="11" t="n"/>
      <c r="G99" s="14">
        <f>IF($F99="","",IF(기본설정!$C$9="일반과세자",ROUND($F99*기본설정!$C$15,0),0))</f>
        <v/>
      </c>
      <c r="H99" s="15">
        <f>IF($F99="","",$F99+$G99)</f>
        <v/>
      </c>
      <c r="I99" s="8" t="n"/>
      <c r="J99" s="8" t="n"/>
      <c r="K99" s="14">
        <f>IF($F99="","",IF($I99="예",ROUND($F99*기본설정!$C$14,0),0))</f>
        <v/>
      </c>
      <c r="L99" s="8" t="n"/>
    </row>
    <row r="100">
      <c r="B100" s="13" t="n"/>
      <c r="C100" s="8" t="n"/>
      <c r="D100" s="8" t="n"/>
      <c r="E100" s="8" t="n"/>
      <c r="F100" s="11" t="n"/>
      <c r="G100" s="14">
        <f>IF($F100="","",IF(기본설정!$C$9="일반과세자",ROUND($F100*기본설정!$C$15,0),0))</f>
        <v/>
      </c>
      <c r="H100" s="15">
        <f>IF($F100="","",$F100+$G100)</f>
        <v/>
      </c>
      <c r="I100" s="8" t="n"/>
      <c r="J100" s="8" t="n"/>
      <c r="K100" s="14">
        <f>IF($F100="","",IF($I100="예",ROUND($F100*기본설정!$C$14,0),0))</f>
        <v/>
      </c>
      <c r="L100" s="8" t="n"/>
    </row>
    <row r="101">
      <c r="B101" s="13" t="n"/>
      <c r="C101" s="8" t="n"/>
      <c r="D101" s="8" t="n"/>
      <c r="E101" s="8" t="n"/>
      <c r="F101" s="11" t="n"/>
      <c r="G101" s="14">
        <f>IF($F101="","",IF(기본설정!$C$9="일반과세자",ROUND($F101*기본설정!$C$15,0),0))</f>
        <v/>
      </c>
      <c r="H101" s="15">
        <f>IF($F101="","",$F101+$G101)</f>
        <v/>
      </c>
      <c r="I101" s="8" t="n"/>
      <c r="J101" s="8" t="n"/>
      <c r="K101" s="14">
        <f>IF($F101="","",IF($I101="예",ROUND($F101*기본설정!$C$14,0),0))</f>
        <v/>
      </c>
      <c r="L101" s="8" t="n"/>
    </row>
    <row r="102">
      <c r="B102" s="13" t="n"/>
      <c r="C102" s="8" t="n"/>
      <c r="D102" s="8" t="n"/>
      <c r="E102" s="8" t="n"/>
      <c r="F102" s="11" t="n"/>
      <c r="G102" s="14">
        <f>IF($F102="","",IF(기본설정!$C$9="일반과세자",ROUND($F102*기본설정!$C$15,0),0))</f>
        <v/>
      </c>
      <c r="H102" s="15">
        <f>IF($F102="","",$F102+$G102)</f>
        <v/>
      </c>
      <c r="I102" s="8" t="n"/>
      <c r="J102" s="8" t="n"/>
      <c r="K102" s="14">
        <f>IF($F102="","",IF($I102="예",ROUND($F102*기본설정!$C$14,0),0))</f>
        <v/>
      </c>
      <c r="L102" s="8" t="n"/>
    </row>
    <row r="103">
      <c r="B103" s="13" t="n"/>
      <c r="C103" s="8" t="n"/>
      <c r="D103" s="8" t="n"/>
      <c r="E103" s="8" t="n"/>
      <c r="F103" s="11" t="n"/>
      <c r="G103" s="14">
        <f>IF($F103="","",IF(기본설정!$C$9="일반과세자",ROUND($F103*기본설정!$C$15,0),0))</f>
        <v/>
      </c>
      <c r="H103" s="15">
        <f>IF($F103="","",$F103+$G103)</f>
        <v/>
      </c>
      <c r="I103" s="8" t="n"/>
      <c r="J103" s="8" t="n"/>
      <c r="K103" s="14">
        <f>IF($F103="","",IF($I103="예",ROUND($F103*기본설정!$C$14,0),0))</f>
        <v/>
      </c>
      <c r="L103" s="8" t="n"/>
    </row>
    <row r="104">
      <c r="B104" s="13" t="n"/>
      <c r="C104" s="8" t="n"/>
      <c r="D104" s="8" t="n"/>
      <c r="E104" s="8" t="n"/>
      <c r="F104" s="11" t="n"/>
      <c r="G104" s="14">
        <f>IF($F104="","",IF(기본설정!$C$9="일반과세자",ROUND($F104*기본설정!$C$15,0),0))</f>
        <v/>
      </c>
      <c r="H104" s="15">
        <f>IF($F104="","",$F104+$G104)</f>
        <v/>
      </c>
      <c r="I104" s="8" t="n"/>
      <c r="J104" s="8" t="n"/>
      <c r="K104" s="14">
        <f>IF($F104="","",IF($I104="예",ROUND($F104*기본설정!$C$14,0),0))</f>
        <v/>
      </c>
      <c r="L104" s="8" t="n"/>
    </row>
    <row r="105">
      <c r="B105" s="13" t="n"/>
      <c r="C105" s="8" t="n"/>
      <c r="D105" s="8" t="n"/>
      <c r="E105" s="8" t="n"/>
      <c r="F105" s="11" t="n"/>
      <c r="G105" s="14">
        <f>IF($F105="","",IF(기본설정!$C$9="일반과세자",ROUND($F105*기본설정!$C$15,0),0))</f>
        <v/>
      </c>
      <c r="H105" s="15">
        <f>IF($F105="","",$F105+$G105)</f>
        <v/>
      </c>
      <c r="I105" s="8" t="n"/>
      <c r="J105" s="8" t="n"/>
      <c r="K105" s="14">
        <f>IF($F105="","",IF($I105="예",ROUND($F105*기본설정!$C$14,0),0))</f>
        <v/>
      </c>
      <c r="L105" s="8" t="n"/>
    </row>
    <row r="106">
      <c r="B106" s="13" t="n"/>
      <c r="C106" s="8" t="n"/>
      <c r="D106" s="8" t="n"/>
      <c r="E106" s="8" t="n"/>
      <c r="F106" s="11" t="n"/>
      <c r="G106" s="14">
        <f>IF($F106="","",IF(기본설정!$C$9="일반과세자",ROUND($F106*기본설정!$C$15,0),0))</f>
        <v/>
      </c>
      <c r="H106" s="15">
        <f>IF($F106="","",$F106+$G106)</f>
        <v/>
      </c>
      <c r="I106" s="8" t="n"/>
      <c r="J106" s="8" t="n"/>
      <c r="K106" s="14">
        <f>IF($F106="","",IF($I106="예",ROUND($F106*기본설정!$C$14,0),0))</f>
        <v/>
      </c>
      <c r="L106" s="8" t="n"/>
    </row>
    <row r="107">
      <c r="B107" s="13" t="n"/>
      <c r="C107" s="8" t="n"/>
      <c r="D107" s="8" t="n"/>
      <c r="E107" s="8" t="n"/>
      <c r="F107" s="11" t="n"/>
      <c r="G107" s="14">
        <f>IF($F107="","",IF(기본설정!$C$9="일반과세자",ROUND($F107*기본설정!$C$15,0),0))</f>
        <v/>
      </c>
      <c r="H107" s="15">
        <f>IF($F107="","",$F107+$G107)</f>
        <v/>
      </c>
      <c r="I107" s="8" t="n"/>
      <c r="J107" s="8" t="n"/>
      <c r="K107" s="14">
        <f>IF($F107="","",IF($I107="예",ROUND($F107*기본설정!$C$14,0),0))</f>
        <v/>
      </c>
      <c r="L107" s="8" t="n"/>
    </row>
    <row r="108">
      <c r="B108" s="13" t="n"/>
      <c r="C108" s="8" t="n"/>
      <c r="D108" s="8" t="n"/>
      <c r="E108" s="8" t="n"/>
      <c r="F108" s="11" t="n"/>
      <c r="G108" s="14">
        <f>IF($F108="","",IF(기본설정!$C$9="일반과세자",ROUND($F108*기본설정!$C$15,0),0))</f>
        <v/>
      </c>
      <c r="H108" s="15">
        <f>IF($F108="","",$F108+$G108)</f>
        <v/>
      </c>
      <c r="I108" s="8" t="n"/>
      <c r="J108" s="8" t="n"/>
      <c r="K108" s="14">
        <f>IF($F108="","",IF($I108="예",ROUND($F108*기본설정!$C$14,0),0))</f>
        <v/>
      </c>
      <c r="L108" s="8" t="n"/>
    </row>
    <row r="109">
      <c r="B109" s="13" t="n"/>
      <c r="C109" s="8" t="n"/>
      <c r="D109" s="8" t="n"/>
      <c r="E109" s="8" t="n"/>
      <c r="F109" s="11" t="n"/>
      <c r="G109" s="14">
        <f>IF($F109="","",IF(기본설정!$C$9="일반과세자",ROUND($F109*기본설정!$C$15,0),0))</f>
        <v/>
      </c>
      <c r="H109" s="15">
        <f>IF($F109="","",$F109+$G109)</f>
        <v/>
      </c>
      <c r="I109" s="8" t="n"/>
      <c r="J109" s="8" t="n"/>
      <c r="K109" s="14">
        <f>IF($F109="","",IF($I109="예",ROUND($F109*기본설정!$C$14,0),0))</f>
        <v/>
      </c>
      <c r="L109" s="8" t="n"/>
    </row>
    <row r="110">
      <c r="B110" s="13" t="n"/>
      <c r="C110" s="8" t="n"/>
      <c r="D110" s="8" t="n"/>
      <c r="E110" s="8" t="n"/>
      <c r="F110" s="11" t="n"/>
      <c r="G110" s="14">
        <f>IF($F110="","",IF(기본설정!$C$9="일반과세자",ROUND($F110*기본설정!$C$15,0),0))</f>
        <v/>
      </c>
      <c r="H110" s="15">
        <f>IF($F110="","",$F110+$G110)</f>
        <v/>
      </c>
      <c r="I110" s="8" t="n"/>
      <c r="J110" s="8" t="n"/>
      <c r="K110" s="14">
        <f>IF($F110="","",IF($I110="예",ROUND($F110*기본설정!$C$14,0),0))</f>
        <v/>
      </c>
      <c r="L110" s="8" t="n"/>
    </row>
    <row r="111">
      <c r="B111" s="13" t="n"/>
      <c r="C111" s="8" t="n"/>
      <c r="D111" s="8" t="n"/>
      <c r="E111" s="8" t="n"/>
      <c r="F111" s="11" t="n"/>
      <c r="G111" s="14">
        <f>IF($F111="","",IF(기본설정!$C$9="일반과세자",ROUND($F111*기본설정!$C$15,0),0))</f>
        <v/>
      </c>
      <c r="H111" s="15">
        <f>IF($F111="","",$F111+$G111)</f>
        <v/>
      </c>
      <c r="I111" s="8" t="n"/>
      <c r="J111" s="8" t="n"/>
      <c r="K111" s="14">
        <f>IF($F111="","",IF($I111="예",ROUND($F111*기본설정!$C$14,0),0))</f>
        <v/>
      </c>
      <c r="L111" s="8" t="n"/>
    </row>
    <row r="112">
      <c r="B112" s="13" t="n"/>
      <c r="C112" s="8" t="n"/>
      <c r="D112" s="8" t="n"/>
      <c r="E112" s="8" t="n"/>
      <c r="F112" s="11" t="n"/>
      <c r="G112" s="14">
        <f>IF($F112="","",IF(기본설정!$C$9="일반과세자",ROUND($F112*기본설정!$C$15,0),0))</f>
        <v/>
      </c>
      <c r="H112" s="15">
        <f>IF($F112="","",$F112+$G112)</f>
        <v/>
      </c>
      <c r="I112" s="8" t="n"/>
      <c r="J112" s="8" t="n"/>
      <c r="K112" s="14">
        <f>IF($F112="","",IF($I112="예",ROUND($F112*기본설정!$C$14,0),0))</f>
        <v/>
      </c>
      <c r="L112" s="8" t="n"/>
    </row>
    <row r="113">
      <c r="B113" s="13" t="n"/>
      <c r="C113" s="8" t="n"/>
      <c r="D113" s="8" t="n"/>
      <c r="E113" s="8" t="n"/>
      <c r="F113" s="11" t="n"/>
      <c r="G113" s="14">
        <f>IF($F113="","",IF(기본설정!$C$9="일반과세자",ROUND($F113*기본설정!$C$15,0),0))</f>
        <v/>
      </c>
      <c r="H113" s="15">
        <f>IF($F113="","",$F113+$G113)</f>
        <v/>
      </c>
      <c r="I113" s="8" t="n"/>
      <c r="J113" s="8" t="n"/>
      <c r="K113" s="14">
        <f>IF($F113="","",IF($I113="예",ROUND($F113*기본설정!$C$14,0),0))</f>
        <v/>
      </c>
      <c r="L113" s="8" t="n"/>
    </row>
    <row r="114">
      <c r="B114" s="13" t="n"/>
      <c r="C114" s="8" t="n"/>
      <c r="D114" s="8" t="n"/>
      <c r="E114" s="8" t="n"/>
      <c r="F114" s="11" t="n"/>
      <c r="G114" s="14">
        <f>IF($F114="","",IF(기본설정!$C$9="일반과세자",ROUND($F114*기본설정!$C$15,0),0))</f>
        <v/>
      </c>
      <c r="H114" s="15">
        <f>IF($F114="","",$F114+$G114)</f>
        <v/>
      </c>
      <c r="I114" s="8" t="n"/>
      <c r="J114" s="8" t="n"/>
      <c r="K114" s="14">
        <f>IF($F114="","",IF($I114="예",ROUND($F114*기본설정!$C$14,0),0))</f>
        <v/>
      </c>
      <c r="L114" s="8" t="n"/>
    </row>
    <row r="115">
      <c r="B115" s="13" t="n"/>
      <c r="C115" s="8" t="n"/>
      <c r="D115" s="8" t="n"/>
      <c r="E115" s="8" t="n"/>
      <c r="F115" s="11" t="n"/>
      <c r="G115" s="14">
        <f>IF($F115="","",IF(기본설정!$C$9="일반과세자",ROUND($F115*기본설정!$C$15,0),0))</f>
        <v/>
      </c>
      <c r="H115" s="15">
        <f>IF($F115="","",$F115+$G115)</f>
        <v/>
      </c>
      <c r="I115" s="8" t="n"/>
      <c r="J115" s="8" t="n"/>
      <c r="K115" s="14">
        <f>IF($F115="","",IF($I115="예",ROUND($F115*기본설정!$C$14,0),0))</f>
        <v/>
      </c>
      <c r="L115" s="8" t="n"/>
    </row>
    <row r="116">
      <c r="B116" s="13" t="n"/>
      <c r="C116" s="8" t="n"/>
      <c r="D116" s="8" t="n"/>
      <c r="E116" s="8" t="n"/>
      <c r="F116" s="11" t="n"/>
      <c r="G116" s="14">
        <f>IF($F116="","",IF(기본설정!$C$9="일반과세자",ROUND($F116*기본설정!$C$15,0),0))</f>
        <v/>
      </c>
      <c r="H116" s="15">
        <f>IF($F116="","",$F116+$G116)</f>
        <v/>
      </c>
      <c r="I116" s="8" t="n"/>
      <c r="J116" s="8" t="n"/>
      <c r="K116" s="14">
        <f>IF($F116="","",IF($I116="예",ROUND($F116*기본설정!$C$14,0),0))</f>
        <v/>
      </c>
      <c r="L116" s="8" t="n"/>
    </row>
    <row r="117">
      <c r="B117" s="13" t="n"/>
      <c r="C117" s="8" t="n"/>
      <c r="D117" s="8" t="n"/>
      <c r="E117" s="8" t="n"/>
      <c r="F117" s="11" t="n"/>
      <c r="G117" s="14">
        <f>IF($F117="","",IF(기본설정!$C$9="일반과세자",ROUND($F117*기본설정!$C$15,0),0))</f>
        <v/>
      </c>
      <c r="H117" s="15">
        <f>IF($F117="","",$F117+$G117)</f>
        <v/>
      </c>
      <c r="I117" s="8" t="n"/>
      <c r="J117" s="8" t="n"/>
      <c r="K117" s="14">
        <f>IF($F117="","",IF($I117="예",ROUND($F117*기본설정!$C$14,0),0))</f>
        <v/>
      </c>
      <c r="L117" s="8" t="n"/>
    </row>
    <row r="118">
      <c r="B118" s="13" t="n"/>
      <c r="C118" s="8" t="n"/>
      <c r="D118" s="8" t="n"/>
      <c r="E118" s="8" t="n"/>
      <c r="F118" s="11" t="n"/>
      <c r="G118" s="14">
        <f>IF($F118="","",IF(기본설정!$C$9="일반과세자",ROUND($F118*기본설정!$C$15,0),0))</f>
        <v/>
      </c>
      <c r="H118" s="15">
        <f>IF($F118="","",$F118+$G118)</f>
        <v/>
      </c>
      <c r="I118" s="8" t="n"/>
      <c r="J118" s="8" t="n"/>
      <c r="K118" s="14">
        <f>IF($F118="","",IF($I118="예",ROUND($F118*기본설정!$C$14,0),0))</f>
        <v/>
      </c>
      <c r="L118" s="8" t="n"/>
    </row>
    <row r="119">
      <c r="B119" s="13" t="n"/>
      <c r="C119" s="8" t="n"/>
      <c r="D119" s="8" t="n"/>
      <c r="E119" s="8" t="n"/>
      <c r="F119" s="11" t="n"/>
      <c r="G119" s="14">
        <f>IF($F119="","",IF(기본설정!$C$9="일반과세자",ROUND($F119*기본설정!$C$15,0),0))</f>
        <v/>
      </c>
      <c r="H119" s="15">
        <f>IF($F119="","",$F119+$G119)</f>
        <v/>
      </c>
      <c r="I119" s="8" t="n"/>
      <c r="J119" s="8" t="n"/>
      <c r="K119" s="14">
        <f>IF($F119="","",IF($I119="예",ROUND($F119*기본설정!$C$14,0),0))</f>
        <v/>
      </c>
      <c r="L119" s="8" t="n"/>
    </row>
    <row r="120">
      <c r="B120" s="13" t="n"/>
      <c r="C120" s="8" t="n"/>
      <c r="D120" s="8" t="n"/>
      <c r="E120" s="8" t="n"/>
      <c r="F120" s="11" t="n"/>
      <c r="G120" s="14">
        <f>IF($F120="","",IF(기본설정!$C$9="일반과세자",ROUND($F120*기본설정!$C$15,0),0))</f>
        <v/>
      </c>
      <c r="H120" s="15">
        <f>IF($F120="","",$F120+$G120)</f>
        <v/>
      </c>
      <c r="I120" s="8" t="n"/>
      <c r="J120" s="8" t="n"/>
      <c r="K120" s="14">
        <f>IF($F120="","",IF($I120="예",ROUND($F120*기본설정!$C$14,0),0))</f>
        <v/>
      </c>
      <c r="L120" s="8" t="n"/>
    </row>
    <row r="121">
      <c r="B121" s="13" t="n"/>
      <c r="C121" s="8" t="n"/>
      <c r="D121" s="8" t="n"/>
      <c r="E121" s="8" t="n"/>
      <c r="F121" s="11" t="n"/>
      <c r="G121" s="14">
        <f>IF($F121="","",IF(기본설정!$C$9="일반과세자",ROUND($F121*기본설정!$C$15,0),0))</f>
        <v/>
      </c>
      <c r="H121" s="15">
        <f>IF($F121="","",$F121+$G121)</f>
        <v/>
      </c>
      <c r="I121" s="8" t="n"/>
      <c r="J121" s="8" t="n"/>
      <c r="K121" s="14">
        <f>IF($F121="","",IF($I121="예",ROUND($F121*기본설정!$C$14,0),0))</f>
        <v/>
      </c>
      <c r="L121" s="8" t="n"/>
    </row>
    <row r="122">
      <c r="B122" s="13" t="n"/>
      <c r="C122" s="8" t="n"/>
      <c r="D122" s="8" t="n"/>
      <c r="E122" s="8" t="n"/>
      <c r="F122" s="11" t="n"/>
      <c r="G122" s="14">
        <f>IF($F122="","",IF(기본설정!$C$9="일반과세자",ROUND($F122*기본설정!$C$15,0),0))</f>
        <v/>
      </c>
      <c r="H122" s="15">
        <f>IF($F122="","",$F122+$G122)</f>
        <v/>
      </c>
      <c r="I122" s="8" t="n"/>
      <c r="J122" s="8" t="n"/>
      <c r="K122" s="14">
        <f>IF($F122="","",IF($I122="예",ROUND($F122*기본설정!$C$14,0),0))</f>
        <v/>
      </c>
      <c r="L122" s="8" t="n"/>
    </row>
    <row r="123">
      <c r="B123" s="13" t="n"/>
      <c r="C123" s="8" t="n"/>
      <c r="D123" s="8" t="n"/>
      <c r="E123" s="8" t="n"/>
      <c r="F123" s="11" t="n"/>
      <c r="G123" s="14">
        <f>IF($F123="","",IF(기본설정!$C$9="일반과세자",ROUND($F123*기본설정!$C$15,0),0))</f>
        <v/>
      </c>
      <c r="H123" s="15">
        <f>IF($F123="","",$F123+$G123)</f>
        <v/>
      </c>
      <c r="I123" s="8" t="n"/>
      <c r="J123" s="8" t="n"/>
      <c r="K123" s="14">
        <f>IF($F123="","",IF($I123="예",ROUND($F123*기본설정!$C$14,0),0))</f>
        <v/>
      </c>
      <c r="L123" s="8" t="n"/>
    </row>
    <row r="124">
      <c r="B124" s="13" t="n"/>
      <c r="C124" s="8" t="n"/>
      <c r="D124" s="8" t="n"/>
      <c r="E124" s="8" t="n"/>
      <c r="F124" s="11" t="n"/>
      <c r="G124" s="14">
        <f>IF($F124="","",IF(기본설정!$C$9="일반과세자",ROUND($F124*기본설정!$C$15,0),0))</f>
        <v/>
      </c>
      <c r="H124" s="15">
        <f>IF($F124="","",$F124+$G124)</f>
        <v/>
      </c>
      <c r="I124" s="8" t="n"/>
      <c r="J124" s="8" t="n"/>
      <c r="K124" s="14">
        <f>IF($F124="","",IF($I124="예",ROUND($F124*기본설정!$C$14,0),0))</f>
        <v/>
      </c>
      <c r="L124" s="8" t="n"/>
    </row>
    <row r="125">
      <c r="B125" s="13" t="n"/>
      <c r="C125" s="8" t="n"/>
      <c r="D125" s="8" t="n"/>
      <c r="E125" s="8" t="n"/>
      <c r="F125" s="11" t="n"/>
      <c r="G125" s="14">
        <f>IF($F125="","",IF(기본설정!$C$9="일반과세자",ROUND($F125*기본설정!$C$15,0),0))</f>
        <v/>
      </c>
      <c r="H125" s="15">
        <f>IF($F125="","",$F125+$G125)</f>
        <v/>
      </c>
      <c r="I125" s="8" t="n"/>
      <c r="J125" s="8" t="n"/>
      <c r="K125" s="14">
        <f>IF($F125="","",IF($I125="예",ROUND($F125*기본설정!$C$14,0),0))</f>
        <v/>
      </c>
      <c r="L125" s="8" t="n"/>
    </row>
    <row r="126">
      <c r="B126" s="13" t="n"/>
      <c r="C126" s="8" t="n"/>
      <c r="D126" s="8" t="n"/>
      <c r="E126" s="8" t="n"/>
      <c r="F126" s="11" t="n"/>
      <c r="G126" s="14">
        <f>IF($F126="","",IF(기본설정!$C$9="일반과세자",ROUND($F126*기본설정!$C$15,0),0))</f>
        <v/>
      </c>
      <c r="H126" s="15">
        <f>IF($F126="","",$F126+$G126)</f>
        <v/>
      </c>
      <c r="I126" s="8" t="n"/>
      <c r="J126" s="8" t="n"/>
      <c r="K126" s="14">
        <f>IF($F126="","",IF($I126="예",ROUND($F126*기본설정!$C$14,0),0))</f>
        <v/>
      </c>
      <c r="L126" s="8" t="n"/>
    </row>
    <row r="127">
      <c r="B127" s="13" t="n"/>
      <c r="C127" s="8" t="n"/>
      <c r="D127" s="8" t="n"/>
      <c r="E127" s="8" t="n"/>
      <c r="F127" s="11" t="n"/>
      <c r="G127" s="14">
        <f>IF($F127="","",IF(기본설정!$C$9="일반과세자",ROUND($F127*기본설정!$C$15,0),0))</f>
        <v/>
      </c>
      <c r="H127" s="15">
        <f>IF($F127="","",$F127+$G127)</f>
        <v/>
      </c>
      <c r="I127" s="8" t="n"/>
      <c r="J127" s="8" t="n"/>
      <c r="K127" s="14">
        <f>IF($F127="","",IF($I127="예",ROUND($F127*기본설정!$C$14,0),0))</f>
        <v/>
      </c>
      <c r="L127" s="8" t="n"/>
    </row>
    <row r="128">
      <c r="B128" s="13" t="n"/>
      <c r="C128" s="8" t="n"/>
      <c r="D128" s="8" t="n"/>
      <c r="E128" s="8" t="n"/>
      <c r="F128" s="11" t="n"/>
      <c r="G128" s="14">
        <f>IF($F128="","",IF(기본설정!$C$9="일반과세자",ROUND($F128*기본설정!$C$15,0),0))</f>
        <v/>
      </c>
      <c r="H128" s="15">
        <f>IF($F128="","",$F128+$G128)</f>
        <v/>
      </c>
      <c r="I128" s="8" t="n"/>
      <c r="J128" s="8" t="n"/>
      <c r="K128" s="14">
        <f>IF($F128="","",IF($I128="예",ROUND($F128*기본설정!$C$14,0),0))</f>
        <v/>
      </c>
      <c r="L128" s="8" t="n"/>
    </row>
    <row r="129">
      <c r="B129" s="13" t="n"/>
      <c r="C129" s="8" t="n"/>
      <c r="D129" s="8" t="n"/>
      <c r="E129" s="8" t="n"/>
      <c r="F129" s="11" t="n"/>
      <c r="G129" s="14">
        <f>IF($F129="","",IF(기본설정!$C$9="일반과세자",ROUND($F129*기본설정!$C$15,0),0))</f>
        <v/>
      </c>
      <c r="H129" s="15">
        <f>IF($F129="","",$F129+$G129)</f>
        <v/>
      </c>
      <c r="I129" s="8" t="n"/>
      <c r="J129" s="8" t="n"/>
      <c r="K129" s="14">
        <f>IF($F129="","",IF($I129="예",ROUND($F129*기본설정!$C$14,0),0))</f>
        <v/>
      </c>
      <c r="L129" s="8" t="n"/>
    </row>
    <row r="130">
      <c r="B130" s="13" t="n"/>
      <c r="C130" s="8" t="n"/>
      <c r="D130" s="8" t="n"/>
      <c r="E130" s="8" t="n"/>
      <c r="F130" s="11" t="n"/>
      <c r="G130" s="14">
        <f>IF($F130="","",IF(기본설정!$C$9="일반과세자",ROUND($F130*기본설정!$C$15,0),0))</f>
        <v/>
      </c>
      <c r="H130" s="15">
        <f>IF($F130="","",$F130+$G130)</f>
        <v/>
      </c>
      <c r="I130" s="8" t="n"/>
      <c r="J130" s="8" t="n"/>
      <c r="K130" s="14">
        <f>IF($F130="","",IF($I130="예",ROUND($F130*기본설정!$C$14,0),0))</f>
        <v/>
      </c>
      <c r="L130" s="8" t="n"/>
    </row>
    <row r="131">
      <c r="B131" s="13" t="n"/>
      <c r="C131" s="8" t="n"/>
      <c r="D131" s="8" t="n"/>
      <c r="E131" s="8" t="n"/>
      <c r="F131" s="11" t="n"/>
      <c r="G131" s="14">
        <f>IF($F131="","",IF(기본설정!$C$9="일반과세자",ROUND($F131*기본설정!$C$15,0),0))</f>
        <v/>
      </c>
      <c r="H131" s="15">
        <f>IF($F131="","",$F131+$G131)</f>
        <v/>
      </c>
      <c r="I131" s="8" t="n"/>
      <c r="J131" s="8" t="n"/>
      <c r="K131" s="14">
        <f>IF($F131="","",IF($I131="예",ROUND($F131*기본설정!$C$14,0),0))</f>
        <v/>
      </c>
      <c r="L131" s="8" t="n"/>
    </row>
    <row r="132">
      <c r="B132" s="13" t="n"/>
      <c r="C132" s="8" t="n"/>
      <c r="D132" s="8" t="n"/>
      <c r="E132" s="8" t="n"/>
      <c r="F132" s="11" t="n"/>
      <c r="G132" s="14">
        <f>IF($F132="","",IF(기본설정!$C$9="일반과세자",ROUND($F132*기본설정!$C$15,0),0))</f>
        <v/>
      </c>
      <c r="H132" s="15">
        <f>IF($F132="","",$F132+$G132)</f>
        <v/>
      </c>
      <c r="I132" s="8" t="n"/>
      <c r="J132" s="8" t="n"/>
      <c r="K132" s="14">
        <f>IF($F132="","",IF($I132="예",ROUND($F132*기본설정!$C$14,0),0))</f>
        <v/>
      </c>
      <c r="L132" s="8" t="n"/>
    </row>
    <row r="133">
      <c r="B133" s="13" t="n"/>
      <c r="C133" s="8" t="n"/>
      <c r="D133" s="8" t="n"/>
      <c r="E133" s="8" t="n"/>
      <c r="F133" s="11" t="n"/>
      <c r="G133" s="14">
        <f>IF($F133="","",IF(기본설정!$C$9="일반과세자",ROUND($F133*기본설정!$C$15,0),0))</f>
        <v/>
      </c>
      <c r="H133" s="15">
        <f>IF($F133="","",$F133+$G133)</f>
        <v/>
      </c>
      <c r="I133" s="8" t="n"/>
      <c r="J133" s="8" t="n"/>
      <c r="K133" s="14">
        <f>IF($F133="","",IF($I133="예",ROUND($F133*기본설정!$C$14,0),0))</f>
        <v/>
      </c>
      <c r="L133" s="8" t="n"/>
    </row>
    <row r="134">
      <c r="B134" s="13" t="n"/>
      <c r="C134" s="8" t="n"/>
      <c r="D134" s="8" t="n"/>
      <c r="E134" s="8" t="n"/>
      <c r="F134" s="11" t="n"/>
      <c r="G134" s="14">
        <f>IF($F134="","",IF(기본설정!$C$9="일반과세자",ROUND($F134*기본설정!$C$15,0),0))</f>
        <v/>
      </c>
      <c r="H134" s="15">
        <f>IF($F134="","",$F134+$G134)</f>
        <v/>
      </c>
      <c r="I134" s="8" t="n"/>
      <c r="J134" s="8" t="n"/>
      <c r="K134" s="14">
        <f>IF($F134="","",IF($I134="예",ROUND($F134*기본설정!$C$14,0),0))</f>
        <v/>
      </c>
      <c r="L134" s="8" t="n"/>
    </row>
    <row r="135">
      <c r="B135" s="13" t="n"/>
      <c r="C135" s="8" t="n"/>
      <c r="D135" s="8" t="n"/>
      <c r="E135" s="8" t="n"/>
      <c r="F135" s="11" t="n"/>
      <c r="G135" s="14">
        <f>IF($F135="","",IF(기본설정!$C$9="일반과세자",ROUND($F135*기본설정!$C$15,0),0))</f>
        <v/>
      </c>
      <c r="H135" s="15">
        <f>IF($F135="","",$F135+$G135)</f>
        <v/>
      </c>
      <c r="I135" s="8" t="n"/>
      <c r="J135" s="8" t="n"/>
      <c r="K135" s="14">
        <f>IF($F135="","",IF($I135="예",ROUND($F135*기본설정!$C$14,0),0))</f>
        <v/>
      </c>
      <c r="L135" s="8" t="n"/>
    </row>
    <row r="136">
      <c r="B136" s="13" t="n"/>
      <c r="C136" s="8" t="n"/>
      <c r="D136" s="8" t="n"/>
      <c r="E136" s="8" t="n"/>
      <c r="F136" s="11" t="n"/>
      <c r="G136" s="14">
        <f>IF($F136="","",IF(기본설정!$C$9="일반과세자",ROUND($F136*기본설정!$C$15,0),0))</f>
        <v/>
      </c>
      <c r="H136" s="15">
        <f>IF($F136="","",$F136+$G136)</f>
        <v/>
      </c>
      <c r="I136" s="8" t="n"/>
      <c r="J136" s="8" t="n"/>
      <c r="K136" s="14">
        <f>IF($F136="","",IF($I136="예",ROUND($F136*기본설정!$C$14,0),0))</f>
        <v/>
      </c>
      <c r="L136" s="8" t="n"/>
    </row>
    <row r="137">
      <c r="B137" s="13" t="n"/>
      <c r="C137" s="8" t="n"/>
      <c r="D137" s="8" t="n"/>
      <c r="E137" s="8" t="n"/>
      <c r="F137" s="11" t="n"/>
      <c r="G137" s="14">
        <f>IF($F137="","",IF(기본설정!$C$9="일반과세자",ROUND($F137*기본설정!$C$15,0),0))</f>
        <v/>
      </c>
      <c r="H137" s="15">
        <f>IF($F137="","",$F137+$G137)</f>
        <v/>
      </c>
      <c r="I137" s="8" t="n"/>
      <c r="J137" s="8" t="n"/>
      <c r="K137" s="14">
        <f>IF($F137="","",IF($I137="예",ROUND($F137*기본설정!$C$14,0),0))</f>
        <v/>
      </c>
      <c r="L137" s="8" t="n"/>
    </row>
    <row r="138">
      <c r="B138" s="13" t="n"/>
      <c r="C138" s="8" t="n"/>
      <c r="D138" s="8" t="n"/>
      <c r="E138" s="8" t="n"/>
      <c r="F138" s="11" t="n"/>
      <c r="G138" s="14">
        <f>IF($F138="","",IF(기본설정!$C$9="일반과세자",ROUND($F138*기본설정!$C$15,0),0))</f>
        <v/>
      </c>
      <c r="H138" s="15">
        <f>IF($F138="","",$F138+$G138)</f>
        <v/>
      </c>
      <c r="I138" s="8" t="n"/>
      <c r="J138" s="8" t="n"/>
      <c r="K138" s="14">
        <f>IF($F138="","",IF($I138="예",ROUND($F138*기본설정!$C$14,0),0))</f>
        <v/>
      </c>
      <c r="L138" s="8" t="n"/>
    </row>
    <row r="139">
      <c r="B139" s="13" t="n"/>
      <c r="C139" s="8" t="n"/>
      <c r="D139" s="8" t="n"/>
      <c r="E139" s="8" t="n"/>
      <c r="F139" s="11" t="n"/>
      <c r="G139" s="14">
        <f>IF($F139="","",IF(기본설정!$C$9="일반과세자",ROUND($F139*기본설정!$C$15,0),0))</f>
        <v/>
      </c>
      <c r="H139" s="15">
        <f>IF($F139="","",$F139+$G139)</f>
        <v/>
      </c>
      <c r="I139" s="8" t="n"/>
      <c r="J139" s="8" t="n"/>
      <c r="K139" s="14">
        <f>IF($F139="","",IF($I139="예",ROUND($F139*기본설정!$C$14,0),0))</f>
        <v/>
      </c>
      <c r="L139" s="8" t="n"/>
    </row>
    <row r="140">
      <c r="B140" s="13" t="n"/>
      <c r="C140" s="8" t="n"/>
      <c r="D140" s="8" t="n"/>
      <c r="E140" s="8" t="n"/>
      <c r="F140" s="11" t="n"/>
      <c r="G140" s="14">
        <f>IF($F140="","",IF(기본설정!$C$9="일반과세자",ROUND($F140*기본설정!$C$15,0),0))</f>
        <v/>
      </c>
      <c r="H140" s="15">
        <f>IF($F140="","",$F140+$G140)</f>
        <v/>
      </c>
      <c r="I140" s="8" t="n"/>
      <c r="J140" s="8" t="n"/>
      <c r="K140" s="14">
        <f>IF($F140="","",IF($I140="예",ROUND($F140*기본설정!$C$14,0),0))</f>
        <v/>
      </c>
      <c r="L140" s="8" t="n"/>
    </row>
    <row r="141">
      <c r="B141" s="13" t="n"/>
      <c r="C141" s="8" t="n"/>
      <c r="D141" s="8" t="n"/>
      <c r="E141" s="8" t="n"/>
      <c r="F141" s="11" t="n"/>
      <c r="G141" s="14">
        <f>IF($F141="","",IF(기본설정!$C$9="일반과세자",ROUND($F141*기본설정!$C$15,0),0))</f>
        <v/>
      </c>
      <c r="H141" s="15">
        <f>IF($F141="","",$F141+$G141)</f>
        <v/>
      </c>
      <c r="I141" s="8" t="n"/>
      <c r="J141" s="8" t="n"/>
      <c r="K141" s="14">
        <f>IF($F141="","",IF($I141="예",ROUND($F141*기본설정!$C$14,0),0))</f>
        <v/>
      </c>
      <c r="L141" s="8" t="n"/>
    </row>
    <row r="142">
      <c r="B142" s="13" t="n"/>
      <c r="C142" s="8" t="n"/>
      <c r="D142" s="8" t="n"/>
      <c r="E142" s="8" t="n"/>
      <c r="F142" s="11" t="n"/>
      <c r="G142" s="14">
        <f>IF($F142="","",IF(기본설정!$C$9="일반과세자",ROUND($F142*기본설정!$C$15,0),0))</f>
        <v/>
      </c>
      <c r="H142" s="15">
        <f>IF($F142="","",$F142+$G142)</f>
        <v/>
      </c>
      <c r="I142" s="8" t="n"/>
      <c r="J142" s="8" t="n"/>
      <c r="K142" s="14">
        <f>IF($F142="","",IF($I142="예",ROUND($F142*기본설정!$C$14,0),0))</f>
        <v/>
      </c>
      <c r="L142" s="8" t="n"/>
    </row>
    <row r="143">
      <c r="B143" s="13" t="n"/>
      <c r="C143" s="8" t="n"/>
      <c r="D143" s="8" t="n"/>
      <c r="E143" s="8" t="n"/>
      <c r="F143" s="11" t="n"/>
      <c r="G143" s="14">
        <f>IF($F143="","",IF(기본설정!$C$9="일반과세자",ROUND($F143*기본설정!$C$15,0),0))</f>
        <v/>
      </c>
      <c r="H143" s="15">
        <f>IF($F143="","",$F143+$G143)</f>
        <v/>
      </c>
      <c r="I143" s="8" t="n"/>
      <c r="J143" s="8" t="n"/>
      <c r="K143" s="14">
        <f>IF($F143="","",IF($I143="예",ROUND($F143*기본설정!$C$14,0),0))</f>
        <v/>
      </c>
      <c r="L143" s="8" t="n"/>
    </row>
    <row r="144">
      <c r="B144" s="13" t="n"/>
      <c r="C144" s="8" t="n"/>
      <c r="D144" s="8" t="n"/>
      <c r="E144" s="8" t="n"/>
      <c r="F144" s="11" t="n"/>
      <c r="G144" s="14">
        <f>IF($F144="","",IF(기본설정!$C$9="일반과세자",ROUND($F144*기본설정!$C$15,0),0))</f>
        <v/>
      </c>
      <c r="H144" s="15">
        <f>IF($F144="","",$F144+$G144)</f>
        <v/>
      </c>
      <c r="I144" s="8" t="n"/>
      <c r="J144" s="8" t="n"/>
      <c r="K144" s="14">
        <f>IF($F144="","",IF($I144="예",ROUND($F144*기본설정!$C$14,0),0))</f>
        <v/>
      </c>
      <c r="L144" s="8" t="n"/>
    </row>
    <row r="145">
      <c r="B145" s="13" t="n"/>
      <c r="C145" s="8" t="n"/>
      <c r="D145" s="8" t="n"/>
      <c r="E145" s="8" t="n"/>
      <c r="F145" s="11" t="n"/>
      <c r="G145" s="14">
        <f>IF($F145="","",IF(기본설정!$C$9="일반과세자",ROUND($F145*기본설정!$C$15,0),0))</f>
        <v/>
      </c>
      <c r="H145" s="15">
        <f>IF($F145="","",$F145+$G145)</f>
        <v/>
      </c>
      <c r="I145" s="8" t="n"/>
      <c r="J145" s="8" t="n"/>
      <c r="K145" s="14">
        <f>IF($F145="","",IF($I145="예",ROUND($F145*기본설정!$C$14,0),0))</f>
        <v/>
      </c>
      <c r="L145" s="8" t="n"/>
    </row>
    <row r="146">
      <c r="B146" s="13" t="n"/>
      <c r="C146" s="8" t="n"/>
      <c r="D146" s="8" t="n"/>
      <c r="E146" s="8" t="n"/>
      <c r="F146" s="11" t="n"/>
      <c r="G146" s="14">
        <f>IF($F146="","",IF(기본설정!$C$9="일반과세자",ROUND($F146*기본설정!$C$15,0),0))</f>
        <v/>
      </c>
      <c r="H146" s="15">
        <f>IF($F146="","",$F146+$G146)</f>
        <v/>
      </c>
      <c r="I146" s="8" t="n"/>
      <c r="J146" s="8" t="n"/>
      <c r="K146" s="14">
        <f>IF($F146="","",IF($I146="예",ROUND($F146*기본설정!$C$14,0),0))</f>
        <v/>
      </c>
      <c r="L146" s="8" t="n"/>
    </row>
    <row r="147">
      <c r="B147" s="13" t="n"/>
      <c r="C147" s="8" t="n"/>
      <c r="D147" s="8" t="n"/>
      <c r="E147" s="8" t="n"/>
      <c r="F147" s="11" t="n"/>
      <c r="G147" s="14">
        <f>IF($F147="","",IF(기본설정!$C$9="일반과세자",ROUND($F147*기본설정!$C$15,0),0))</f>
        <v/>
      </c>
      <c r="H147" s="15">
        <f>IF($F147="","",$F147+$G147)</f>
        <v/>
      </c>
      <c r="I147" s="8" t="n"/>
      <c r="J147" s="8" t="n"/>
      <c r="K147" s="14">
        <f>IF($F147="","",IF($I147="예",ROUND($F147*기본설정!$C$14,0),0))</f>
        <v/>
      </c>
      <c r="L147" s="8" t="n"/>
    </row>
    <row r="148">
      <c r="B148" s="13" t="n"/>
      <c r="C148" s="8" t="n"/>
      <c r="D148" s="8" t="n"/>
      <c r="E148" s="8" t="n"/>
      <c r="F148" s="11" t="n"/>
      <c r="G148" s="14">
        <f>IF($F148="","",IF(기본설정!$C$9="일반과세자",ROUND($F148*기본설정!$C$15,0),0))</f>
        <v/>
      </c>
      <c r="H148" s="15">
        <f>IF($F148="","",$F148+$G148)</f>
        <v/>
      </c>
      <c r="I148" s="8" t="n"/>
      <c r="J148" s="8" t="n"/>
      <c r="K148" s="14">
        <f>IF($F148="","",IF($I148="예",ROUND($F148*기본설정!$C$14,0),0))</f>
        <v/>
      </c>
      <c r="L148" s="8" t="n"/>
    </row>
    <row r="149">
      <c r="B149" s="13" t="n"/>
      <c r="C149" s="8" t="n"/>
      <c r="D149" s="8" t="n"/>
      <c r="E149" s="8" t="n"/>
      <c r="F149" s="11" t="n"/>
      <c r="G149" s="14">
        <f>IF($F149="","",IF(기본설정!$C$9="일반과세자",ROUND($F149*기본설정!$C$15,0),0))</f>
        <v/>
      </c>
      <c r="H149" s="15">
        <f>IF($F149="","",$F149+$G149)</f>
        <v/>
      </c>
      <c r="I149" s="8" t="n"/>
      <c r="J149" s="8" t="n"/>
      <c r="K149" s="14">
        <f>IF($F149="","",IF($I149="예",ROUND($F149*기본설정!$C$14,0),0))</f>
        <v/>
      </c>
      <c r="L149" s="8" t="n"/>
    </row>
    <row r="150">
      <c r="B150" s="13" t="n"/>
      <c r="C150" s="8" t="n"/>
      <c r="D150" s="8" t="n"/>
      <c r="E150" s="8" t="n"/>
      <c r="F150" s="11" t="n"/>
      <c r="G150" s="14">
        <f>IF($F150="","",IF(기본설정!$C$9="일반과세자",ROUND($F150*기본설정!$C$15,0),0))</f>
        <v/>
      </c>
      <c r="H150" s="15">
        <f>IF($F150="","",$F150+$G150)</f>
        <v/>
      </c>
      <c r="I150" s="8" t="n"/>
      <c r="J150" s="8" t="n"/>
      <c r="K150" s="14">
        <f>IF($F150="","",IF($I150="예",ROUND($F150*기본설정!$C$14,0),0))</f>
        <v/>
      </c>
      <c r="L150" s="8" t="n"/>
    </row>
    <row r="151">
      <c r="B151" s="13" t="n"/>
      <c r="C151" s="8" t="n"/>
      <c r="D151" s="8" t="n"/>
      <c r="E151" s="8" t="n"/>
      <c r="F151" s="11" t="n"/>
      <c r="G151" s="14">
        <f>IF($F151="","",IF(기본설정!$C$9="일반과세자",ROUND($F151*기본설정!$C$15,0),0))</f>
        <v/>
      </c>
      <c r="H151" s="15">
        <f>IF($F151="","",$F151+$G151)</f>
        <v/>
      </c>
      <c r="I151" s="8" t="n"/>
      <c r="J151" s="8" t="n"/>
      <c r="K151" s="14">
        <f>IF($F151="","",IF($I151="예",ROUND($F151*기본설정!$C$14,0),0))</f>
        <v/>
      </c>
      <c r="L151" s="8" t="n"/>
    </row>
    <row r="152">
      <c r="B152" s="13" t="n"/>
      <c r="C152" s="8" t="n"/>
      <c r="D152" s="8" t="n"/>
      <c r="E152" s="8" t="n"/>
      <c r="F152" s="11" t="n"/>
      <c r="G152" s="14">
        <f>IF($F152="","",IF(기본설정!$C$9="일반과세자",ROUND($F152*기본설정!$C$15,0),0))</f>
        <v/>
      </c>
      <c r="H152" s="15">
        <f>IF($F152="","",$F152+$G152)</f>
        <v/>
      </c>
      <c r="I152" s="8" t="n"/>
      <c r="J152" s="8" t="n"/>
      <c r="K152" s="14">
        <f>IF($F152="","",IF($I152="예",ROUND($F152*기본설정!$C$14,0),0))</f>
        <v/>
      </c>
      <c r="L152" s="8" t="n"/>
    </row>
    <row r="153">
      <c r="B153" s="13" t="n"/>
      <c r="C153" s="8" t="n"/>
      <c r="D153" s="8" t="n"/>
      <c r="E153" s="8" t="n"/>
      <c r="F153" s="11" t="n"/>
      <c r="G153" s="14">
        <f>IF($F153="","",IF(기본설정!$C$9="일반과세자",ROUND($F153*기본설정!$C$15,0),0))</f>
        <v/>
      </c>
      <c r="H153" s="15">
        <f>IF($F153="","",$F153+$G153)</f>
        <v/>
      </c>
      <c r="I153" s="8" t="n"/>
      <c r="J153" s="8" t="n"/>
      <c r="K153" s="14">
        <f>IF($F153="","",IF($I153="예",ROUND($F153*기본설정!$C$14,0),0))</f>
        <v/>
      </c>
      <c r="L153" s="8" t="n"/>
    </row>
    <row r="154">
      <c r="B154" s="13" t="n"/>
      <c r="C154" s="8" t="n"/>
      <c r="D154" s="8" t="n"/>
      <c r="E154" s="8" t="n"/>
      <c r="F154" s="11" t="n"/>
      <c r="G154" s="14">
        <f>IF($F154="","",IF(기본설정!$C$9="일반과세자",ROUND($F154*기본설정!$C$15,0),0))</f>
        <v/>
      </c>
      <c r="H154" s="15">
        <f>IF($F154="","",$F154+$G154)</f>
        <v/>
      </c>
      <c r="I154" s="8" t="n"/>
      <c r="J154" s="8" t="n"/>
      <c r="K154" s="14">
        <f>IF($F154="","",IF($I154="예",ROUND($F154*기본설정!$C$14,0),0))</f>
        <v/>
      </c>
      <c r="L154" s="8" t="n"/>
    </row>
    <row r="155">
      <c r="B155" s="13" t="n"/>
      <c r="C155" s="8" t="n"/>
      <c r="D155" s="8" t="n"/>
      <c r="E155" s="8" t="n"/>
      <c r="F155" s="11" t="n"/>
      <c r="G155" s="14">
        <f>IF($F155="","",IF(기본설정!$C$9="일반과세자",ROUND($F155*기본설정!$C$15,0),0))</f>
        <v/>
      </c>
      <c r="H155" s="15">
        <f>IF($F155="","",$F155+$G155)</f>
        <v/>
      </c>
      <c r="I155" s="8" t="n"/>
      <c r="J155" s="8" t="n"/>
      <c r="K155" s="14">
        <f>IF($F155="","",IF($I155="예",ROUND($F155*기본설정!$C$14,0),0))</f>
        <v/>
      </c>
      <c r="L155" s="8" t="n"/>
    </row>
    <row r="156">
      <c r="B156" s="13" t="n"/>
      <c r="C156" s="8" t="n"/>
      <c r="D156" s="8" t="n"/>
      <c r="E156" s="8" t="n"/>
      <c r="F156" s="11" t="n"/>
      <c r="G156" s="14">
        <f>IF($F156="","",IF(기본설정!$C$9="일반과세자",ROUND($F156*기본설정!$C$15,0),0))</f>
        <v/>
      </c>
      <c r="H156" s="15">
        <f>IF($F156="","",$F156+$G156)</f>
        <v/>
      </c>
      <c r="I156" s="8" t="n"/>
      <c r="J156" s="8" t="n"/>
      <c r="K156" s="14">
        <f>IF($F156="","",IF($I156="예",ROUND($F156*기본설정!$C$14,0),0))</f>
        <v/>
      </c>
      <c r="L156" s="8" t="n"/>
    </row>
    <row r="157">
      <c r="B157" s="13" t="n"/>
      <c r="C157" s="8" t="n"/>
      <c r="D157" s="8" t="n"/>
      <c r="E157" s="8" t="n"/>
      <c r="F157" s="11" t="n"/>
      <c r="G157" s="14">
        <f>IF($F157="","",IF(기본설정!$C$9="일반과세자",ROUND($F157*기본설정!$C$15,0),0))</f>
        <v/>
      </c>
      <c r="H157" s="15">
        <f>IF($F157="","",$F157+$G157)</f>
        <v/>
      </c>
      <c r="I157" s="8" t="n"/>
      <c r="J157" s="8" t="n"/>
      <c r="K157" s="14">
        <f>IF($F157="","",IF($I157="예",ROUND($F157*기본설정!$C$14,0),0))</f>
        <v/>
      </c>
      <c r="L157" s="8" t="n"/>
    </row>
    <row r="158">
      <c r="B158" s="13" t="n"/>
      <c r="C158" s="8" t="n"/>
      <c r="D158" s="8" t="n"/>
      <c r="E158" s="8" t="n"/>
      <c r="F158" s="11" t="n"/>
      <c r="G158" s="14">
        <f>IF($F158="","",IF(기본설정!$C$9="일반과세자",ROUND($F158*기본설정!$C$15,0),0))</f>
        <v/>
      </c>
      <c r="H158" s="15">
        <f>IF($F158="","",$F158+$G158)</f>
        <v/>
      </c>
      <c r="I158" s="8" t="n"/>
      <c r="J158" s="8" t="n"/>
      <c r="K158" s="14">
        <f>IF($F158="","",IF($I158="예",ROUND($F158*기본설정!$C$14,0),0))</f>
        <v/>
      </c>
      <c r="L158" s="8" t="n"/>
    </row>
    <row r="159">
      <c r="B159" s="13" t="n"/>
      <c r="C159" s="8" t="n"/>
      <c r="D159" s="8" t="n"/>
      <c r="E159" s="8" t="n"/>
      <c r="F159" s="11" t="n"/>
      <c r="G159" s="14">
        <f>IF($F159="","",IF(기본설정!$C$9="일반과세자",ROUND($F159*기본설정!$C$15,0),0))</f>
        <v/>
      </c>
      <c r="H159" s="15">
        <f>IF($F159="","",$F159+$G159)</f>
        <v/>
      </c>
      <c r="I159" s="8" t="n"/>
      <c r="J159" s="8" t="n"/>
      <c r="K159" s="14">
        <f>IF($F159="","",IF($I159="예",ROUND($F159*기본설정!$C$14,0),0))</f>
        <v/>
      </c>
      <c r="L159" s="8" t="n"/>
    </row>
    <row r="160">
      <c r="B160" s="13" t="n"/>
      <c r="C160" s="8" t="n"/>
      <c r="D160" s="8" t="n"/>
      <c r="E160" s="8" t="n"/>
      <c r="F160" s="11" t="n"/>
      <c r="G160" s="14">
        <f>IF($F160="","",IF(기본설정!$C$9="일반과세자",ROUND($F160*기본설정!$C$15,0),0))</f>
        <v/>
      </c>
      <c r="H160" s="15">
        <f>IF($F160="","",$F160+$G160)</f>
        <v/>
      </c>
      <c r="I160" s="8" t="n"/>
      <c r="J160" s="8" t="n"/>
      <c r="K160" s="14">
        <f>IF($F160="","",IF($I160="예",ROUND($F160*기본설정!$C$14,0),0))</f>
        <v/>
      </c>
      <c r="L160" s="8" t="n"/>
    </row>
    <row r="161">
      <c r="B161" s="13" t="n"/>
      <c r="C161" s="8" t="n"/>
      <c r="D161" s="8" t="n"/>
      <c r="E161" s="8" t="n"/>
      <c r="F161" s="11" t="n"/>
      <c r="G161" s="14">
        <f>IF($F161="","",IF(기본설정!$C$9="일반과세자",ROUND($F161*기본설정!$C$15,0),0))</f>
        <v/>
      </c>
      <c r="H161" s="15">
        <f>IF($F161="","",$F161+$G161)</f>
        <v/>
      </c>
      <c r="I161" s="8" t="n"/>
      <c r="J161" s="8" t="n"/>
      <c r="K161" s="14">
        <f>IF($F161="","",IF($I161="예",ROUND($F161*기본설정!$C$14,0),0))</f>
        <v/>
      </c>
      <c r="L161" s="8" t="n"/>
    </row>
    <row r="162">
      <c r="B162" s="13" t="n"/>
      <c r="C162" s="8" t="n"/>
      <c r="D162" s="8" t="n"/>
      <c r="E162" s="8" t="n"/>
      <c r="F162" s="11" t="n"/>
      <c r="G162" s="14">
        <f>IF($F162="","",IF(기본설정!$C$9="일반과세자",ROUND($F162*기본설정!$C$15,0),0))</f>
        <v/>
      </c>
      <c r="H162" s="15">
        <f>IF($F162="","",$F162+$G162)</f>
        <v/>
      </c>
      <c r="I162" s="8" t="n"/>
      <c r="J162" s="8" t="n"/>
      <c r="K162" s="14">
        <f>IF($F162="","",IF($I162="예",ROUND($F162*기본설정!$C$14,0),0))</f>
        <v/>
      </c>
      <c r="L162" s="8" t="n"/>
    </row>
    <row r="163">
      <c r="B163" s="13" t="n"/>
      <c r="C163" s="8" t="n"/>
      <c r="D163" s="8" t="n"/>
      <c r="E163" s="8" t="n"/>
      <c r="F163" s="11" t="n"/>
      <c r="G163" s="14">
        <f>IF($F163="","",IF(기본설정!$C$9="일반과세자",ROUND($F163*기본설정!$C$15,0),0))</f>
        <v/>
      </c>
      <c r="H163" s="15">
        <f>IF($F163="","",$F163+$G163)</f>
        <v/>
      </c>
      <c r="I163" s="8" t="n"/>
      <c r="J163" s="8" t="n"/>
      <c r="K163" s="14">
        <f>IF($F163="","",IF($I163="예",ROUND($F163*기본설정!$C$14,0),0))</f>
        <v/>
      </c>
      <c r="L163" s="8" t="n"/>
    </row>
    <row r="164">
      <c r="B164" s="13" t="n"/>
      <c r="C164" s="8" t="n"/>
      <c r="D164" s="8" t="n"/>
      <c r="E164" s="8" t="n"/>
      <c r="F164" s="11" t="n"/>
      <c r="G164" s="14">
        <f>IF($F164="","",IF(기본설정!$C$9="일반과세자",ROUND($F164*기본설정!$C$15,0),0))</f>
        <v/>
      </c>
      <c r="H164" s="15">
        <f>IF($F164="","",$F164+$G164)</f>
        <v/>
      </c>
      <c r="I164" s="8" t="n"/>
      <c r="J164" s="8" t="n"/>
      <c r="K164" s="14">
        <f>IF($F164="","",IF($I164="예",ROUND($F164*기본설정!$C$14,0),0))</f>
        <v/>
      </c>
      <c r="L164" s="8" t="n"/>
    </row>
    <row r="165">
      <c r="B165" s="13" t="n"/>
      <c r="C165" s="8" t="n"/>
      <c r="D165" s="8" t="n"/>
      <c r="E165" s="8" t="n"/>
      <c r="F165" s="11" t="n"/>
      <c r="G165" s="14">
        <f>IF($F165="","",IF(기본설정!$C$9="일반과세자",ROUND($F165*기본설정!$C$15,0),0))</f>
        <v/>
      </c>
      <c r="H165" s="15">
        <f>IF($F165="","",$F165+$G165)</f>
        <v/>
      </c>
      <c r="I165" s="8" t="n"/>
      <c r="J165" s="8" t="n"/>
      <c r="K165" s="14">
        <f>IF($F165="","",IF($I165="예",ROUND($F165*기본설정!$C$14,0),0))</f>
        <v/>
      </c>
      <c r="L165" s="8" t="n"/>
    </row>
    <row r="166">
      <c r="B166" s="13" t="n"/>
      <c r="C166" s="8" t="n"/>
      <c r="D166" s="8" t="n"/>
      <c r="E166" s="8" t="n"/>
      <c r="F166" s="11" t="n"/>
      <c r="G166" s="14">
        <f>IF($F166="","",IF(기본설정!$C$9="일반과세자",ROUND($F166*기본설정!$C$15,0),0))</f>
        <v/>
      </c>
      <c r="H166" s="15">
        <f>IF($F166="","",$F166+$G166)</f>
        <v/>
      </c>
      <c r="I166" s="8" t="n"/>
      <c r="J166" s="8" t="n"/>
      <c r="K166" s="14">
        <f>IF($F166="","",IF($I166="예",ROUND($F166*기본설정!$C$14,0),0))</f>
        <v/>
      </c>
      <c r="L166" s="8" t="n"/>
    </row>
    <row r="167">
      <c r="B167" s="13" t="n"/>
      <c r="C167" s="8" t="n"/>
      <c r="D167" s="8" t="n"/>
      <c r="E167" s="8" t="n"/>
      <c r="F167" s="11" t="n"/>
      <c r="G167" s="14">
        <f>IF($F167="","",IF(기본설정!$C$9="일반과세자",ROUND($F167*기본설정!$C$15,0),0))</f>
        <v/>
      </c>
      <c r="H167" s="15">
        <f>IF($F167="","",$F167+$G167)</f>
        <v/>
      </c>
      <c r="I167" s="8" t="n"/>
      <c r="J167" s="8" t="n"/>
      <c r="K167" s="14">
        <f>IF($F167="","",IF($I167="예",ROUND($F167*기본설정!$C$14,0),0))</f>
        <v/>
      </c>
      <c r="L167" s="8" t="n"/>
    </row>
    <row r="168">
      <c r="B168" s="13" t="n"/>
      <c r="C168" s="8" t="n"/>
      <c r="D168" s="8" t="n"/>
      <c r="E168" s="8" t="n"/>
      <c r="F168" s="11" t="n"/>
      <c r="G168" s="14">
        <f>IF($F168="","",IF(기본설정!$C$9="일반과세자",ROUND($F168*기본설정!$C$15,0),0))</f>
        <v/>
      </c>
      <c r="H168" s="15">
        <f>IF($F168="","",$F168+$G168)</f>
        <v/>
      </c>
      <c r="I168" s="8" t="n"/>
      <c r="J168" s="8" t="n"/>
      <c r="K168" s="14">
        <f>IF($F168="","",IF($I168="예",ROUND($F168*기본설정!$C$14,0),0))</f>
        <v/>
      </c>
      <c r="L168" s="8" t="n"/>
    </row>
    <row r="169">
      <c r="B169" s="13" t="n"/>
      <c r="C169" s="8" t="n"/>
      <c r="D169" s="8" t="n"/>
      <c r="E169" s="8" t="n"/>
      <c r="F169" s="11" t="n"/>
      <c r="G169" s="14">
        <f>IF($F169="","",IF(기본설정!$C$9="일반과세자",ROUND($F169*기본설정!$C$15,0),0))</f>
        <v/>
      </c>
      <c r="H169" s="15">
        <f>IF($F169="","",$F169+$G169)</f>
        <v/>
      </c>
      <c r="I169" s="8" t="n"/>
      <c r="J169" s="8" t="n"/>
      <c r="K169" s="14">
        <f>IF($F169="","",IF($I169="예",ROUND($F169*기본설정!$C$14,0),0))</f>
        <v/>
      </c>
      <c r="L169" s="8" t="n"/>
    </row>
    <row r="170">
      <c r="B170" s="13" t="n"/>
      <c r="C170" s="8" t="n"/>
      <c r="D170" s="8" t="n"/>
      <c r="E170" s="8" t="n"/>
      <c r="F170" s="11" t="n"/>
      <c r="G170" s="14">
        <f>IF($F170="","",IF(기본설정!$C$9="일반과세자",ROUND($F170*기본설정!$C$15,0),0))</f>
        <v/>
      </c>
      <c r="H170" s="15">
        <f>IF($F170="","",$F170+$G170)</f>
        <v/>
      </c>
      <c r="I170" s="8" t="n"/>
      <c r="J170" s="8" t="n"/>
      <c r="K170" s="14">
        <f>IF($F170="","",IF($I170="예",ROUND($F170*기본설정!$C$14,0),0))</f>
        <v/>
      </c>
      <c r="L170" s="8" t="n"/>
    </row>
    <row r="171">
      <c r="B171" s="13" t="n"/>
      <c r="C171" s="8" t="n"/>
      <c r="D171" s="8" t="n"/>
      <c r="E171" s="8" t="n"/>
      <c r="F171" s="11" t="n"/>
      <c r="G171" s="14">
        <f>IF($F171="","",IF(기본설정!$C$9="일반과세자",ROUND($F171*기본설정!$C$15,0),0))</f>
        <v/>
      </c>
      <c r="H171" s="15">
        <f>IF($F171="","",$F171+$G171)</f>
        <v/>
      </c>
      <c r="I171" s="8" t="n"/>
      <c r="J171" s="8" t="n"/>
      <c r="K171" s="14">
        <f>IF($F171="","",IF($I171="예",ROUND($F171*기본설정!$C$14,0),0))</f>
        <v/>
      </c>
      <c r="L171" s="8" t="n"/>
    </row>
    <row r="172">
      <c r="B172" s="13" t="n"/>
      <c r="C172" s="8" t="n"/>
      <c r="D172" s="8" t="n"/>
      <c r="E172" s="8" t="n"/>
      <c r="F172" s="11" t="n"/>
      <c r="G172" s="14">
        <f>IF($F172="","",IF(기본설정!$C$9="일반과세자",ROUND($F172*기본설정!$C$15,0),0))</f>
        <v/>
      </c>
      <c r="H172" s="15">
        <f>IF($F172="","",$F172+$G172)</f>
        <v/>
      </c>
      <c r="I172" s="8" t="n"/>
      <c r="J172" s="8" t="n"/>
      <c r="K172" s="14">
        <f>IF($F172="","",IF($I172="예",ROUND($F172*기본설정!$C$14,0),0))</f>
        <v/>
      </c>
      <c r="L172" s="8" t="n"/>
    </row>
    <row r="173">
      <c r="B173" s="13" t="n"/>
      <c r="C173" s="8" t="n"/>
      <c r="D173" s="8" t="n"/>
      <c r="E173" s="8" t="n"/>
      <c r="F173" s="11" t="n"/>
      <c r="G173" s="14">
        <f>IF($F173="","",IF(기본설정!$C$9="일반과세자",ROUND($F173*기본설정!$C$15,0),0))</f>
        <v/>
      </c>
      <c r="H173" s="15">
        <f>IF($F173="","",$F173+$G173)</f>
        <v/>
      </c>
      <c r="I173" s="8" t="n"/>
      <c r="J173" s="8" t="n"/>
      <c r="K173" s="14">
        <f>IF($F173="","",IF($I173="예",ROUND($F173*기본설정!$C$14,0),0))</f>
        <v/>
      </c>
      <c r="L173" s="8" t="n"/>
    </row>
    <row r="174">
      <c r="B174" s="13" t="n"/>
      <c r="C174" s="8" t="n"/>
      <c r="D174" s="8" t="n"/>
      <c r="E174" s="8" t="n"/>
      <c r="F174" s="11" t="n"/>
      <c r="G174" s="14">
        <f>IF($F174="","",IF(기본설정!$C$9="일반과세자",ROUND($F174*기본설정!$C$15,0),0))</f>
        <v/>
      </c>
      <c r="H174" s="15">
        <f>IF($F174="","",$F174+$G174)</f>
        <v/>
      </c>
      <c r="I174" s="8" t="n"/>
      <c r="J174" s="8" t="n"/>
      <c r="K174" s="14">
        <f>IF($F174="","",IF($I174="예",ROUND($F174*기본설정!$C$14,0),0))</f>
        <v/>
      </c>
      <c r="L174" s="8" t="n"/>
    </row>
    <row r="175">
      <c r="B175" s="13" t="n"/>
      <c r="C175" s="8" t="n"/>
      <c r="D175" s="8" t="n"/>
      <c r="E175" s="8" t="n"/>
      <c r="F175" s="11" t="n"/>
      <c r="G175" s="14">
        <f>IF($F175="","",IF(기본설정!$C$9="일반과세자",ROUND($F175*기본설정!$C$15,0),0))</f>
        <v/>
      </c>
      <c r="H175" s="15">
        <f>IF($F175="","",$F175+$G175)</f>
        <v/>
      </c>
      <c r="I175" s="8" t="n"/>
      <c r="J175" s="8" t="n"/>
      <c r="K175" s="14">
        <f>IF($F175="","",IF($I175="예",ROUND($F175*기본설정!$C$14,0),0))</f>
        <v/>
      </c>
      <c r="L175" s="8" t="n"/>
    </row>
    <row r="176">
      <c r="B176" s="13" t="n"/>
      <c r="C176" s="8" t="n"/>
      <c r="D176" s="8" t="n"/>
      <c r="E176" s="8" t="n"/>
      <c r="F176" s="11" t="n"/>
      <c r="G176" s="14">
        <f>IF($F176="","",IF(기본설정!$C$9="일반과세자",ROUND($F176*기본설정!$C$15,0),0))</f>
        <v/>
      </c>
      <c r="H176" s="15">
        <f>IF($F176="","",$F176+$G176)</f>
        <v/>
      </c>
      <c r="I176" s="8" t="n"/>
      <c r="J176" s="8" t="n"/>
      <c r="K176" s="14">
        <f>IF($F176="","",IF($I176="예",ROUND($F176*기본설정!$C$14,0),0))</f>
        <v/>
      </c>
      <c r="L176" s="8" t="n"/>
    </row>
    <row r="177">
      <c r="B177" s="13" t="n"/>
      <c r="C177" s="8" t="n"/>
      <c r="D177" s="8" t="n"/>
      <c r="E177" s="8" t="n"/>
      <c r="F177" s="11" t="n"/>
      <c r="G177" s="14">
        <f>IF($F177="","",IF(기본설정!$C$9="일반과세자",ROUND($F177*기본설정!$C$15,0),0))</f>
        <v/>
      </c>
      <c r="H177" s="15">
        <f>IF($F177="","",$F177+$G177)</f>
        <v/>
      </c>
      <c r="I177" s="8" t="n"/>
      <c r="J177" s="8" t="n"/>
      <c r="K177" s="14">
        <f>IF($F177="","",IF($I177="예",ROUND($F177*기본설정!$C$14,0),0))</f>
        <v/>
      </c>
      <c r="L177" s="8" t="n"/>
    </row>
    <row r="178">
      <c r="B178" s="13" t="n"/>
      <c r="C178" s="8" t="n"/>
      <c r="D178" s="8" t="n"/>
      <c r="E178" s="8" t="n"/>
      <c r="F178" s="11" t="n"/>
      <c r="G178" s="14">
        <f>IF($F178="","",IF(기본설정!$C$9="일반과세자",ROUND($F178*기본설정!$C$15,0),0))</f>
        <v/>
      </c>
      <c r="H178" s="15">
        <f>IF($F178="","",$F178+$G178)</f>
        <v/>
      </c>
      <c r="I178" s="8" t="n"/>
      <c r="J178" s="8" t="n"/>
      <c r="K178" s="14">
        <f>IF($F178="","",IF($I178="예",ROUND($F178*기본설정!$C$14,0),0))</f>
        <v/>
      </c>
      <c r="L178" s="8" t="n"/>
    </row>
    <row r="179">
      <c r="B179" s="13" t="n"/>
      <c r="C179" s="8" t="n"/>
      <c r="D179" s="8" t="n"/>
      <c r="E179" s="8" t="n"/>
      <c r="F179" s="11" t="n"/>
      <c r="G179" s="14">
        <f>IF($F179="","",IF(기본설정!$C$9="일반과세자",ROUND($F179*기본설정!$C$15,0),0))</f>
        <v/>
      </c>
      <c r="H179" s="15">
        <f>IF($F179="","",$F179+$G179)</f>
        <v/>
      </c>
      <c r="I179" s="8" t="n"/>
      <c r="J179" s="8" t="n"/>
      <c r="K179" s="14">
        <f>IF($F179="","",IF($I179="예",ROUND($F179*기본설정!$C$14,0),0))</f>
        <v/>
      </c>
      <c r="L179" s="8" t="n"/>
    </row>
    <row r="180">
      <c r="B180" s="13" t="n"/>
      <c r="C180" s="8" t="n"/>
      <c r="D180" s="8" t="n"/>
      <c r="E180" s="8" t="n"/>
      <c r="F180" s="11" t="n"/>
      <c r="G180" s="14">
        <f>IF($F180="","",IF(기본설정!$C$9="일반과세자",ROUND($F180*기본설정!$C$15,0),0))</f>
        <v/>
      </c>
      <c r="H180" s="15">
        <f>IF($F180="","",$F180+$G180)</f>
        <v/>
      </c>
      <c r="I180" s="8" t="n"/>
      <c r="J180" s="8" t="n"/>
      <c r="K180" s="14">
        <f>IF($F180="","",IF($I180="예",ROUND($F180*기본설정!$C$14,0),0))</f>
        <v/>
      </c>
      <c r="L180" s="8" t="n"/>
    </row>
    <row r="181">
      <c r="B181" s="13" t="n"/>
      <c r="C181" s="8" t="n"/>
      <c r="D181" s="8" t="n"/>
      <c r="E181" s="8" t="n"/>
      <c r="F181" s="11" t="n"/>
      <c r="G181" s="14">
        <f>IF($F181="","",IF(기본설정!$C$9="일반과세자",ROUND($F181*기본설정!$C$15,0),0))</f>
        <v/>
      </c>
      <c r="H181" s="15">
        <f>IF($F181="","",$F181+$G181)</f>
        <v/>
      </c>
      <c r="I181" s="8" t="n"/>
      <c r="J181" s="8" t="n"/>
      <c r="K181" s="14">
        <f>IF($F181="","",IF($I181="예",ROUND($F181*기본설정!$C$14,0),0))</f>
        <v/>
      </c>
      <c r="L181" s="8" t="n"/>
    </row>
    <row r="182">
      <c r="B182" s="13" t="n"/>
      <c r="C182" s="8" t="n"/>
      <c r="D182" s="8" t="n"/>
      <c r="E182" s="8" t="n"/>
      <c r="F182" s="11" t="n"/>
      <c r="G182" s="14">
        <f>IF($F182="","",IF(기본설정!$C$9="일반과세자",ROUND($F182*기본설정!$C$15,0),0))</f>
        <v/>
      </c>
      <c r="H182" s="15">
        <f>IF($F182="","",$F182+$G182)</f>
        <v/>
      </c>
      <c r="I182" s="8" t="n"/>
      <c r="J182" s="8" t="n"/>
      <c r="K182" s="14">
        <f>IF($F182="","",IF($I182="예",ROUND($F182*기본설정!$C$14,0),0))</f>
        <v/>
      </c>
      <c r="L182" s="8" t="n"/>
    </row>
    <row r="183">
      <c r="B183" s="13" t="n"/>
      <c r="C183" s="8" t="n"/>
      <c r="D183" s="8" t="n"/>
      <c r="E183" s="8" t="n"/>
      <c r="F183" s="11" t="n"/>
      <c r="G183" s="14">
        <f>IF($F183="","",IF(기본설정!$C$9="일반과세자",ROUND($F183*기본설정!$C$15,0),0))</f>
        <v/>
      </c>
      <c r="H183" s="15">
        <f>IF($F183="","",$F183+$G183)</f>
        <v/>
      </c>
      <c r="I183" s="8" t="n"/>
      <c r="J183" s="8" t="n"/>
      <c r="K183" s="14">
        <f>IF($F183="","",IF($I183="예",ROUND($F183*기본설정!$C$14,0),0))</f>
        <v/>
      </c>
      <c r="L183" s="8" t="n"/>
    </row>
    <row r="184">
      <c r="B184" s="13" t="n"/>
      <c r="C184" s="8" t="n"/>
      <c r="D184" s="8" t="n"/>
      <c r="E184" s="8" t="n"/>
      <c r="F184" s="11" t="n"/>
      <c r="G184" s="14">
        <f>IF($F184="","",IF(기본설정!$C$9="일반과세자",ROUND($F184*기본설정!$C$15,0),0))</f>
        <v/>
      </c>
      <c r="H184" s="15">
        <f>IF($F184="","",$F184+$G184)</f>
        <v/>
      </c>
      <c r="I184" s="8" t="n"/>
      <c r="J184" s="8" t="n"/>
      <c r="K184" s="14">
        <f>IF($F184="","",IF($I184="예",ROUND($F184*기본설정!$C$14,0),0))</f>
        <v/>
      </c>
      <c r="L184" s="8" t="n"/>
    </row>
    <row r="185">
      <c r="B185" s="13" t="n"/>
      <c r="C185" s="8" t="n"/>
      <c r="D185" s="8" t="n"/>
      <c r="E185" s="8" t="n"/>
      <c r="F185" s="11" t="n"/>
      <c r="G185" s="14">
        <f>IF($F185="","",IF(기본설정!$C$9="일반과세자",ROUND($F185*기본설정!$C$15,0),0))</f>
        <v/>
      </c>
      <c r="H185" s="15">
        <f>IF($F185="","",$F185+$G185)</f>
        <v/>
      </c>
      <c r="I185" s="8" t="n"/>
      <c r="J185" s="8" t="n"/>
      <c r="K185" s="14">
        <f>IF($F185="","",IF($I185="예",ROUND($F185*기본설정!$C$14,0),0))</f>
        <v/>
      </c>
      <c r="L185" s="8" t="n"/>
    </row>
    <row r="186">
      <c r="B186" s="13" t="n"/>
      <c r="C186" s="8" t="n"/>
      <c r="D186" s="8" t="n"/>
      <c r="E186" s="8" t="n"/>
      <c r="F186" s="11" t="n"/>
      <c r="G186" s="14">
        <f>IF($F186="","",IF(기본설정!$C$9="일반과세자",ROUND($F186*기본설정!$C$15,0),0))</f>
        <v/>
      </c>
      <c r="H186" s="15">
        <f>IF($F186="","",$F186+$G186)</f>
        <v/>
      </c>
      <c r="I186" s="8" t="n"/>
      <c r="J186" s="8" t="n"/>
      <c r="K186" s="14">
        <f>IF($F186="","",IF($I186="예",ROUND($F186*기본설정!$C$14,0),0))</f>
        <v/>
      </c>
      <c r="L186" s="8" t="n"/>
    </row>
    <row r="187">
      <c r="B187" s="13" t="n"/>
      <c r="C187" s="8" t="n"/>
      <c r="D187" s="8" t="n"/>
      <c r="E187" s="8" t="n"/>
      <c r="F187" s="11" t="n"/>
      <c r="G187" s="14">
        <f>IF($F187="","",IF(기본설정!$C$9="일반과세자",ROUND($F187*기본설정!$C$15,0),0))</f>
        <v/>
      </c>
      <c r="H187" s="15">
        <f>IF($F187="","",$F187+$G187)</f>
        <v/>
      </c>
      <c r="I187" s="8" t="n"/>
      <c r="J187" s="8" t="n"/>
      <c r="K187" s="14">
        <f>IF($F187="","",IF($I187="예",ROUND($F187*기본설정!$C$14,0),0))</f>
        <v/>
      </c>
      <c r="L187" s="8" t="n"/>
    </row>
    <row r="188">
      <c r="B188" s="13" t="n"/>
      <c r="C188" s="8" t="n"/>
      <c r="D188" s="8" t="n"/>
      <c r="E188" s="8" t="n"/>
      <c r="F188" s="11" t="n"/>
      <c r="G188" s="14">
        <f>IF($F188="","",IF(기본설정!$C$9="일반과세자",ROUND($F188*기본설정!$C$15,0),0))</f>
        <v/>
      </c>
      <c r="H188" s="15">
        <f>IF($F188="","",$F188+$G188)</f>
        <v/>
      </c>
      <c r="I188" s="8" t="n"/>
      <c r="J188" s="8" t="n"/>
      <c r="K188" s="14">
        <f>IF($F188="","",IF($I188="예",ROUND($F188*기본설정!$C$14,0),0))</f>
        <v/>
      </c>
      <c r="L188" s="8" t="n"/>
    </row>
    <row r="189">
      <c r="B189" s="13" t="n"/>
      <c r="C189" s="8" t="n"/>
      <c r="D189" s="8" t="n"/>
      <c r="E189" s="8" t="n"/>
      <c r="F189" s="11" t="n"/>
      <c r="G189" s="14">
        <f>IF($F189="","",IF(기본설정!$C$9="일반과세자",ROUND($F189*기본설정!$C$15,0),0))</f>
        <v/>
      </c>
      <c r="H189" s="15">
        <f>IF($F189="","",$F189+$G189)</f>
        <v/>
      </c>
      <c r="I189" s="8" t="n"/>
      <c r="J189" s="8" t="n"/>
      <c r="K189" s="14">
        <f>IF($F189="","",IF($I189="예",ROUND($F189*기본설정!$C$14,0),0))</f>
        <v/>
      </c>
      <c r="L189" s="8" t="n"/>
    </row>
    <row r="190">
      <c r="B190" s="13" t="n"/>
      <c r="C190" s="8" t="n"/>
      <c r="D190" s="8" t="n"/>
      <c r="E190" s="8" t="n"/>
      <c r="F190" s="11" t="n"/>
      <c r="G190" s="14">
        <f>IF($F190="","",IF(기본설정!$C$9="일반과세자",ROUND($F190*기본설정!$C$15,0),0))</f>
        <v/>
      </c>
      <c r="H190" s="15">
        <f>IF($F190="","",$F190+$G190)</f>
        <v/>
      </c>
      <c r="I190" s="8" t="n"/>
      <c r="J190" s="8" t="n"/>
      <c r="K190" s="14">
        <f>IF($F190="","",IF($I190="예",ROUND($F190*기본설정!$C$14,0),0))</f>
        <v/>
      </c>
      <c r="L190" s="8" t="n"/>
    </row>
    <row r="191">
      <c r="B191" s="13" t="n"/>
      <c r="C191" s="8" t="n"/>
      <c r="D191" s="8" t="n"/>
      <c r="E191" s="8" t="n"/>
      <c r="F191" s="11" t="n"/>
      <c r="G191" s="14">
        <f>IF($F191="","",IF(기본설정!$C$9="일반과세자",ROUND($F191*기본설정!$C$15,0),0))</f>
        <v/>
      </c>
      <c r="H191" s="15">
        <f>IF($F191="","",$F191+$G191)</f>
        <v/>
      </c>
      <c r="I191" s="8" t="n"/>
      <c r="J191" s="8" t="n"/>
      <c r="K191" s="14">
        <f>IF($F191="","",IF($I191="예",ROUND($F191*기본설정!$C$14,0),0))</f>
        <v/>
      </c>
      <c r="L191" s="8" t="n"/>
    </row>
    <row r="192">
      <c r="B192" s="13" t="n"/>
      <c r="C192" s="8" t="n"/>
      <c r="D192" s="8" t="n"/>
      <c r="E192" s="8" t="n"/>
      <c r="F192" s="11" t="n"/>
      <c r="G192" s="14">
        <f>IF($F192="","",IF(기본설정!$C$9="일반과세자",ROUND($F192*기본설정!$C$15,0),0))</f>
        <v/>
      </c>
      <c r="H192" s="15">
        <f>IF($F192="","",$F192+$G192)</f>
        <v/>
      </c>
      <c r="I192" s="8" t="n"/>
      <c r="J192" s="8" t="n"/>
      <c r="K192" s="14">
        <f>IF($F192="","",IF($I192="예",ROUND($F192*기본설정!$C$14,0),0))</f>
        <v/>
      </c>
      <c r="L192" s="8" t="n"/>
    </row>
    <row r="193">
      <c r="B193" s="13" t="n"/>
      <c r="C193" s="8" t="n"/>
      <c r="D193" s="8" t="n"/>
      <c r="E193" s="8" t="n"/>
      <c r="F193" s="11" t="n"/>
      <c r="G193" s="14">
        <f>IF($F193="","",IF(기본설정!$C$9="일반과세자",ROUND($F193*기본설정!$C$15,0),0))</f>
        <v/>
      </c>
      <c r="H193" s="15">
        <f>IF($F193="","",$F193+$G193)</f>
        <v/>
      </c>
      <c r="I193" s="8" t="n"/>
      <c r="J193" s="8" t="n"/>
      <c r="K193" s="14">
        <f>IF($F193="","",IF($I193="예",ROUND($F193*기본설정!$C$14,0),0))</f>
        <v/>
      </c>
      <c r="L193" s="8" t="n"/>
    </row>
    <row r="194">
      <c r="B194" s="13" t="n"/>
      <c r="C194" s="8" t="n"/>
      <c r="D194" s="8" t="n"/>
      <c r="E194" s="8" t="n"/>
      <c r="F194" s="11" t="n"/>
      <c r="G194" s="14">
        <f>IF($F194="","",IF(기본설정!$C$9="일반과세자",ROUND($F194*기본설정!$C$15,0),0))</f>
        <v/>
      </c>
      <c r="H194" s="15">
        <f>IF($F194="","",$F194+$G194)</f>
        <v/>
      </c>
      <c r="I194" s="8" t="n"/>
      <c r="J194" s="8" t="n"/>
      <c r="K194" s="14">
        <f>IF($F194="","",IF($I194="예",ROUND($F194*기본설정!$C$14,0),0))</f>
        <v/>
      </c>
      <c r="L194" s="8" t="n"/>
    </row>
    <row r="195">
      <c r="B195" s="13" t="n"/>
      <c r="C195" s="8" t="n"/>
      <c r="D195" s="8" t="n"/>
      <c r="E195" s="8" t="n"/>
      <c r="F195" s="11" t="n"/>
      <c r="G195" s="14">
        <f>IF($F195="","",IF(기본설정!$C$9="일반과세자",ROUND($F195*기본설정!$C$15,0),0))</f>
        <v/>
      </c>
      <c r="H195" s="15">
        <f>IF($F195="","",$F195+$G195)</f>
        <v/>
      </c>
      <c r="I195" s="8" t="n"/>
      <c r="J195" s="8" t="n"/>
      <c r="K195" s="14">
        <f>IF($F195="","",IF($I195="예",ROUND($F195*기본설정!$C$14,0),0))</f>
        <v/>
      </c>
      <c r="L195" s="8" t="n"/>
    </row>
    <row r="196">
      <c r="B196" s="13" t="n"/>
      <c r="C196" s="8" t="n"/>
      <c r="D196" s="8" t="n"/>
      <c r="E196" s="8" t="n"/>
      <c r="F196" s="11" t="n"/>
      <c r="G196" s="14">
        <f>IF($F196="","",IF(기본설정!$C$9="일반과세자",ROUND($F196*기본설정!$C$15,0),0))</f>
        <v/>
      </c>
      <c r="H196" s="15">
        <f>IF($F196="","",$F196+$G196)</f>
        <v/>
      </c>
      <c r="I196" s="8" t="n"/>
      <c r="J196" s="8" t="n"/>
      <c r="K196" s="14">
        <f>IF($F196="","",IF($I196="예",ROUND($F196*기본설정!$C$14,0),0))</f>
        <v/>
      </c>
      <c r="L196" s="8" t="n"/>
    </row>
    <row r="197">
      <c r="B197" s="13" t="n"/>
      <c r="C197" s="8" t="n"/>
      <c r="D197" s="8" t="n"/>
      <c r="E197" s="8" t="n"/>
      <c r="F197" s="11" t="n"/>
      <c r="G197" s="14">
        <f>IF($F197="","",IF(기본설정!$C$9="일반과세자",ROUND($F197*기본설정!$C$15,0),0))</f>
        <v/>
      </c>
      <c r="H197" s="15">
        <f>IF($F197="","",$F197+$G197)</f>
        <v/>
      </c>
      <c r="I197" s="8" t="n"/>
      <c r="J197" s="8" t="n"/>
      <c r="K197" s="14">
        <f>IF($F197="","",IF($I197="예",ROUND($F197*기본설정!$C$14,0),0))</f>
        <v/>
      </c>
      <c r="L197" s="8" t="n"/>
    </row>
    <row r="198">
      <c r="B198" s="13" t="n"/>
      <c r="C198" s="8" t="n"/>
      <c r="D198" s="8" t="n"/>
      <c r="E198" s="8" t="n"/>
      <c r="F198" s="11" t="n"/>
      <c r="G198" s="14">
        <f>IF($F198="","",IF(기본설정!$C$9="일반과세자",ROUND($F198*기본설정!$C$15,0),0))</f>
        <v/>
      </c>
      <c r="H198" s="15">
        <f>IF($F198="","",$F198+$G198)</f>
        <v/>
      </c>
      <c r="I198" s="8" t="n"/>
      <c r="J198" s="8" t="n"/>
      <c r="K198" s="14">
        <f>IF($F198="","",IF($I198="예",ROUND($F198*기본설정!$C$14,0),0))</f>
        <v/>
      </c>
      <c r="L198" s="8" t="n"/>
    </row>
    <row r="199">
      <c r="B199" s="13" t="n"/>
      <c r="C199" s="8" t="n"/>
      <c r="D199" s="8" t="n"/>
      <c r="E199" s="8" t="n"/>
      <c r="F199" s="11" t="n"/>
      <c r="G199" s="14">
        <f>IF($F199="","",IF(기본설정!$C$9="일반과세자",ROUND($F199*기본설정!$C$15,0),0))</f>
        <v/>
      </c>
      <c r="H199" s="15">
        <f>IF($F199="","",$F199+$G199)</f>
        <v/>
      </c>
      <c r="I199" s="8" t="n"/>
      <c r="J199" s="8" t="n"/>
      <c r="K199" s="14">
        <f>IF($F199="","",IF($I199="예",ROUND($F199*기본설정!$C$14,0),0))</f>
        <v/>
      </c>
      <c r="L199" s="8" t="n"/>
    </row>
    <row r="200">
      <c r="B200" s="13" t="n"/>
      <c r="C200" s="8" t="n"/>
      <c r="D200" s="8" t="n"/>
      <c r="E200" s="8" t="n"/>
      <c r="F200" s="11" t="n"/>
      <c r="G200" s="14">
        <f>IF($F200="","",IF(기본설정!$C$9="일반과세자",ROUND($F200*기본설정!$C$15,0),0))</f>
        <v/>
      </c>
      <c r="H200" s="15">
        <f>IF($F200="","",$F200+$G200)</f>
        <v/>
      </c>
      <c r="I200" s="8" t="n"/>
      <c r="J200" s="8" t="n"/>
      <c r="K200" s="14">
        <f>IF($F200="","",IF($I200="예",ROUND($F200*기본설정!$C$14,0),0))</f>
        <v/>
      </c>
      <c r="L200" s="8" t="n"/>
    </row>
    <row r="201">
      <c r="B201" s="13" t="n"/>
      <c r="C201" s="8" t="n"/>
      <c r="D201" s="8" t="n"/>
      <c r="E201" s="8" t="n"/>
      <c r="F201" s="11" t="n"/>
      <c r="G201" s="14">
        <f>IF($F201="","",IF(기본설정!$C$9="일반과세자",ROUND($F201*기본설정!$C$15,0),0))</f>
        <v/>
      </c>
      <c r="H201" s="15">
        <f>IF($F201="","",$F201+$G201)</f>
        <v/>
      </c>
      <c r="I201" s="8" t="n"/>
      <c r="J201" s="8" t="n"/>
      <c r="K201" s="14">
        <f>IF($F201="","",IF($I201="예",ROUND($F201*기본설정!$C$14,0),0))</f>
        <v/>
      </c>
      <c r="L201" s="8" t="n"/>
    </row>
    <row r="202">
      <c r="B202" s="13" t="n"/>
      <c r="C202" s="8" t="n"/>
      <c r="D202" s="8" t="n"/>
      <c r="E202" s="8" t="n"/>
      <c r="F202" s="11" t="n"/>
      <c r="G202" s="14">
        <f>IF($F202="","",IF(기본설정!$C$9="일반과세자",ROUND($F202*기본설정!$C$15,0),0))</f>
        <v/>
      </c>
      <c r="H202" s="15">
        <f>IF($F202="","",$F202+$G202)</f>
        <v/>
      </c>
      <c r="I202" s="8" t="n"/>
      <c r="J202" s="8" t="n"/>
      <c r="K202" s="14">
        <f>IF($F202="","",IF($I202="예",ROUND($F202*기본설정!$C$14,0),0))</f>
        <v/>
      </c>
      <c r="L202" s="8" t="n"/>
    </row>
    <row r="203">
      <c r="B203" s="13" t="n"/>
      <c r="C203" s="8" t="n"/>
      <c r="D203" s="8" t="n"/>
      <c r="E203" s="8" t="n"/>
      <c r="F203" s="11" t="n"/>
      <c r="G203" s="14">
        <f>IF($F203="","",IF(기본설정!$C$9="일반과세자",ROUND($F203*기본설정!$C$15,0),0))</f>
        <v/>
      </c>
      <c r="H203" s="15">
        <f>IF($F203="","",$F203+$G203)</f>
        <v/>
      </c>
      <c r="I203" s="8" t="n"/>
      <c r="J203" s="8" t="n"/>
      <c r="K203" s="14">
        <f>IF($F203="","",IF($I203="예",ROUND($F203*기본설정!$C$14,0),0))</f>
        <v/>
      </c>
      <c r="L203" s="8" t="n"/>
    </row>
    <row r="204">
      <c r="B204" s="13" t="n"/>
      <c r="C204" s="8" t="n"/>
      <c r="D204" s="8" t="n"/>
      <c r="E204" s="8" t="n"/>
      <c r="F204" s="11" t="n"/>
      <c r="G204" s="14">
        <f>IF($F204="","",IF(기본설정!$C$9="일반과세자",ROUND($F204*기본설정!$C$15,0),0))</f>
        <v/>
      </c>
      <c r="H204" s="15">
        <f>IF($F204="","",$F204+$G204)</f>
        <v/>
      </c>
      <c r="I204" s="8" t="n"/>
      <c r="J204" s="8" t="n"/>
      <c r="K204" s="14">
        <f>IF($F204="","",IF($I204="예",ROUND($F204*기본설정!$C$14,0),0))</f>
        <v/>
      </c>
      <c r="L204" s="8" t="n"/>
    </row>
    <row r="205">
      <c r="B205" s="13" t="n"/>
      <c r="C205" s="8" t="n"/>
      <c r="D205" s="8" t="n"/>
      <c r="E205" s="8" t="n"/>
      <c r="F205" s="11" t="n"/>
      <c r="G205" s="14">
        <f>IF($F205="","",IF(기본설정!$C$9="일반과세자",ROUND($F205*기본설정!$C$15,0),0))</f>
        <v/>
      </c>
      <c r="H205" s="15">
        <f>IF($F205="","",$F205+$G205)</f>
        <v/>
      </c>
      <c r="I205" s="8" t="n"/>
      <c r="J205" s="8" t="n"/>
      <c r="K205" s="14">
        <f>IF($F205="","",IF($I205="예",ROUND($F205*기본설정!$C$14,0),0))</f>
        <v/>
      </c>
      <c r="L205" s="8" t="n"/>
    </row>
    <row r="206">
      <c r="B206" s="13" t="n"/>
      <c r="C206" s="8" t="n"/>
      <c r="D206" s="8" t="n"/>
      <c r="E206" s="8" t="n"/>
      <c r="F206" s="11" t="n"/>
      <c r="G206" s="14">
        <f>IF($F206="","",IF(기본설정!$C$9="일반과세자",ROUND($F206*기본설정!$C$15,0),0))</f>
        <v/>
      </c>
      <c r="H206" s="15">
        <f>IF($F206="","",$F206+$G206)</f>
        <v/>
      </c>
      <c r="I206" s="8" t="n"/>
      <c r="J206" s="8" t="n"/>
      <c r="K206" s="14">
        <f>IF($F206="","",IF($I206="예",ROUND($F206*기본설정!$C$14,0),0))</f>
        <v/>
      </c>
      <c r="L206" s="8" t="n"/>
    </row>
    <row r="207">
      <c r="B207" s="13" t="n"/>
      <c r="C207" s="8" t="n"/>
      <c r="D207" s="8" t="n"/>
      <c r="E207" s="8" t="n"/>
      <c r="F207" s="11" t="n"/>
      <c r="G207" s="14">
        <f>IF($F207="","",IF(기본설정!$C$9="일반과세자",ROUND($F207*기본설정!$C$15,0),0))</f>
        <v/>
      </c>
      <c r="H207" s="15">
        <f>IF($F207="","",$F207+$G207)</f>
        <v/>
      </c>
      <c r="I207" s="8" t="n"/>
      <c r="J207" s="8" t="n"/>
      <c r="K207" s="14">
        <f>IF($F207="","",IF($I207="예",ROUND($F207*기본설정!$C$14,0),0))</f>
        <v/>
      </c>
      <c r="L207" s="8" t="n"/>
    </row>
    <row r="208">
      <c r="B208" s="13" t="n"/>
      <c r="C208" s="8" t="n"/>
      <c r="D208" s="8" t="n"/>
      <c r="E208" s="8" t="n"/>
      <c r="F208" s="11" t="n"/>
      <c r="G208" s="14">
        <f>IF($F208="","",IF(기본설정!$C$9="일반과세자",ROUND($F208*기본설정!$C$15,0),0))</f>
        <v/>
      </c>
      <c r="H208" s="15">
        <f>IF($F208="","",$F208+$G208)</f>
        <v/>
      </c>
      <c r="I208" s="8" t="n"/>
      <c r="J208" s="8" t="n"/>
      <c r="K208" s="14">
        <f>IF($F208="","",IF($I208="예",ROUND($F208*기본설정!$C$14,0),0))</f>
        <v/>
      </c>
      <c r="L208" s="8" t="n"/>
    </row>
    <row r="209">
      <c r="B209" s="13" t="n"/>
      <c r="C209" s="8" t="n"/>
      <c r="D209" s="8" t="n"/>
      <c r="E209" s="8" t="n"/>
      <c r="F209" s="11" t="n"/>
      <c r="G209" s="14">
        <f>IF($F209="","",IF(기본설정!$C$9="일반과세자",ROUND($F209*기본설정!$C$15,0),0))</f>
        <v/>
      </c>
      <c r="H209" s="15">
        <f>IF($F209="","",$F209+$G209)</f>
        <v/>
      </c>
      <c r="I209" s="8" t="n"/>
      <c r="J209" s="8" t="n"/>
      <c r="K209" s="14">
        <f>IF($F209="","",IF($I209="예",ROUND($F209*기본설정!$C$14,0),0))</f>
        <v/>
      </c>
      <c r="L209" s="8" t="n"/>
    </row>
    <row r="210">
      <c r="B210" s="13" t="n"/>
      <c r="C210" s="8" t="n"/>
      <c r="D210" s="8" t="n"/>
      <c r="E210" s="8" t="n"/>
      <c r="F210" s="11" t="n"/>
      <c r="G210" s="14">
        <f>IF($F210="","",IF(기본설정!$C$9="일반과세자",ROUND($F210*기본설정!$C$15,0),0))</f>
        <v/>
      </c>
      <c r="H210" s="15">
        <f>IF($F210="","",$F210+$G210)</f>
        <v/>
      </c>
      <c r="I210" s="8" t="n"/>
      <c r="J210" s="8" t="n"/>
      <c r="K210" s="14">
        <f>IF($F210="","",IF($I210="예",ROUND($F210*기본설정!$C$14,0),0))</f>
        <v/>
      </c>
      <c r="L210" s="8" t="n"/>
    </row>
    <row r="211">
      <c r="B211" s="13" t="n"/>
      <c r="C211" s="8" t="n"/>
      <c r="D211" s="8" t="n"/>
      <c r="E211" s="8" t="n"/>
      <c r="F211" s="11" t="n"/>
      <c r="G211" s="14">
        <f>IF($F211="","",IF(기본설정!$C$9="일반과세자",ROUND($F211*기본설정!$C$15,0),0))</f>
        <v/>
      </c>
      <c r="H211" s="15">
        <f>IF($F211="","",$F211+$G211)</f>
        <v/>
      </c>
      <c r="I211" s="8" t="n"/>
      <c r="J211" s="8" t="n"/>
      <c r="K211" s="14">
        <f>IF($F211="","",IF($I211="예",ROUND($F211*기본설정!$C$14,0),0))</f>
        <v/>
      </c>
      <c r="L211" s="8" t="n"/>
    </row>
    <row r="212">
      <c r="B212" s="13" t="n"/>
      <c r="C212" s="8" t="n"/>
      <c r="D212" s="8" t="n"/>
      <c r="E212" s="8" t="n"/>
      <c r="F212" s="11" t="n"/>
      <c r="G212" s="14">
        <f>IF($F212="","",IF(기본설정!$C$9="일반과세자",ROUND($F212*기본설정!$C$15,0),0))</f>
        <v/>
      </c>
      <c r="H212" s="15">
        <f>IF($F212="","",$F212+$G212)</f>
        <v/>
      </c>
      <c r="I212" s="8" t="n"/>
      <c r="J212" s="8" t="n"/>
      <c r="K212" s="14">
        <f>IF($F212="","",IF($I212="예",ROUND($F212*기본설정!$C$14,0),0))</f>
        <v/>
      </c>
      <c r="L212" s="8" t="n"/>
    </row>
    <row r="213">
      <c r="B213" s="13" t="n"/>
      <c r="C213" s="8" t="n"/>
      <c r="D213" s="8" t="n"/>
      <c r="E213" s="8" t="n"/>
      <c r="F213" s="11" t="n"/>
      <c r="G213" s="14">
        <f>IF($F213="","",IF(기본설정!$C$9="일반과세자",ROUND($F213*기본설정!$C$15,0),0))</f>
        <v/>
      </c>
      <c r="H213" s="15">
        <f>IF($F213="","",$F213+$G213)</f>
        <v/>
      </c>
      <c r="I213" s="8" t="n"/>
      <c r="J213" s="8" t="n"/>
      <c r="K213" s="14">
        <f>IF($F213="","",IF($I213="예",ROUND($F213*기본설정!$C$14,0),0))</f>
        <v/>
      </c>
      <c r="L213" s="8" t="n"/>
    </row>
    <row r="214">
      <c r="B214" s="13" t="n"/>
      <c r="C214" s="8" t="n"/>
      <c r="D214" s="8" t="n"/>
      <c r="E214" s="8" t="n"/>
      <c r="F214" s="11" t="n"/>
      <c r="G214" s="14">
        <f>IF($F214="","",IF(기본설정!$C$9="일반과세자",ROUND($F214*기본설정!$C$15,0),0))</f>
        <v/>
      </c>
      <c r="H214" s="15">
        <f>IF($F214="","",$F214+$G214)</f>
        <v/>
      </c>
      <c r="I214" s="8" t="n"/>
      <c r="J214" s="8" t="n"/>
      <c r="K214" s="14">
        <f>IF($F214="","",IF($I214="예",ROUND($F214*기본설정!$C$14,0),0))</f>
        <v/>
      </c>
      <c r="L214" s="8" t="n"/>
    </row>
    <row r="215">
      <c r="B215" s="13" t="n"/>
      <c r="C215" s="8" t="n"/>
      <c r="D215" s="8" t="n"/>
      <c r="E215" s="8" t="n"/>
      <c r="F215" s="11" t="n"/>
      <c r="G215" s="14">
        <f>IF($F215="","",IF(기본설정!$C$9="일반과세자",ROUND($F215*기본설정!$C$15,0),0))</f>
        <v/>
      </c>
      <c r="H215" s="15">
        <f>IF($F215="","",$F215+$G215)</f>
        <v/>
      </c>
      <c r="I215" s="8" t="n"/>
      <c r="J215" s="8" t="n"/>
      <c r="K215" s="14">
        <f>IF($F215="","",IF($I215="예",ROUND($F215*기본설정!$C$14,0),0))</f>
        <v/>
      </c>
      <c r="L215" s="8" t="n"/>
    </row>
    <row r="216">
      <c r="B216" s="13" t="n"/>
      <c r="C216" s="8" t="n"/>
      <c r="D216" s="8" t="n"/>
      <c r="E216" s="8" t="n"/>
      <c r="F216" s="11" t="n"/>
      <c r="G216" s="14">
        <f>IF($F216="","",IF(기본설정!$C$9="일반과세자",ROUND($F216*기본설정!$C$15,0),0))</f>
        <v/>
      </c>
      <c r="H216" s="15">
        <f>IF($F216="","",$F216+$G216)</f>
        <v/>
      </c>
      <c r="I216" s="8" t="n"/>
      <c r="J216" s="8" t="n"/>
      <c r="K216" s="14">
        <f>IF($F216="","",IF($I216="예",ROUND($F216*기본설정!$C$14,0),0))</f>
        <v/>
      </c>
      <c r="L216" s="8" t="n"/>
    </row>
    <row r="217">
      <c r="B217" s="13" t="n"/>
      <c r="C217" s="8" t="n"/>
      <c r="D217" s="8" t="n"/>
      <c r="E217" s="8" t="n"/>
      <c r="F217" s="11" t="n"/>
      <c r="G217" s="14">
        <f>IF($F217="","",IF(기본설정!$C$9="일반과세자",ROUND($F217*기본설정!$C$15,0),0))</f>
        <v/>
      </c>
      <c r="H217" s="15">
        <f>IF($F217="","",$F217+$G217)</f>
        <v/>
      </c>
      <c r="I217" s="8" t="n"/>
      <c r="J217" s="8" t="n"/>
      <c r="K217" s="14">
        <f>IF($F217="","",IF($I217="예",ROUND($F217*기본설정!$C$14,0),0))</f>
        <v/>
      </c>
      <c r="L217" s="8" t="n"/>
    </row>
    <row r="218">
      <c r="B218" s="13" t="n"/>
      <c r="C218" s="8" t="n"/>
      <c r="D218" s="8" t="n"/>
      <c r="E218" s="8" t="n"/>
      <c r="F218" s="11" t="n"/>
      <c r="G218" s="14">
        <f>IF($F218="","",IF(기본설정!$C$9="일반과세자",ROUND($F218*기본설정!$C$15,0),0))</f>
        <v/>
      </c>
      <c r="H218" s="15">
        <f>IF($F218="","",$F218+$G218)</f>
        <v/>
      </c>
      <c r="I218" s="8" t="n"/>
      <c r="J218" s="8" t="n"/>
      <c r="K218" s="14">
        <f>IF($F218="","",IF($I218="예",ROUND($F218*기본설정!$C$14,0),0))</f>
        <v/>
      </c>
      <c r="L218" s="8" t="n"/>
    </row>
    <row r="219">
      <c r="B219" s="13" t="n"/>
      <c r="C219" s="8" t="n"/>
      <c r="D219" s="8" t="n"/>
      <c r="E219" s="8" t="n"/>
      <c r="F219" s="11" t="n"/>
      <c r="G219" s="14">
        <f>IF($F219="","",IF(기본설정!$C$9="일반과세자",ROUND($F219*기본설정!$C$15,0),0))</f>
        <v/>
      </c>
      <c r="H219" s="15">
        <f>IF($F219="","",$F219+$G219)</f>
        <v/>
      </c>
      <c r="I219" s="8" t="n"/>
      <c r="J219" s="8" t="n"/>
      <c r="K219" s="14">
        <f>IF($F219="","",IF($I219="예",ROUND($F219*기본설정!$C$14,0),0))</f>
        <v/>
      </c>
      <c r="L219" s="8" t="n"/>
    </row>
    <row r="220">
      <c r="B220" s="13" t="n"/>
      <c r="C220" s="8" t="n"/>
      <c r="D220" s="8" t="n"/>
      <c r="E220" s="8" t="n"/>
      <c r="F220" s="11" t="n"/>
      <c r="G220" s="14">
        <f>IF($F220="","",IF(기본설정!$C$9="일반과세자",ROUND($F220*기본설정!$C$15,0),0))</f>
        <v/>
      </c>
      <c r="H220" s="15">
        <f>IF($F220="","",$F220+$G220)</f>
        <v/>
      </c>
      <c r="I220" s="8" t="n"/>
      <c r="J220" s="8" t="n"/>
      <c r="K220" s="14">
        <f>IF($F220="","",IF($I220="예",ROUND($F220*기본설정!$C$14,0),0))</f>
        <v/>
      </c>
      <c r="L220" s="8" t="n"/>
    </row>
    <row r="221">
      <c r="B221" s="13" t="n"/>
      <c r="C221" s="8" t="n"/>
      <c r="D221" s="8" t="n"/>
      <c r="E221" s="8" t="n"/>
      <c r="F221" s="11" t="n"/>
      <c r="G221" s="14">
        <f>IF($F221="","",IF(기본설정!$C$9="일반과세자",ROUND($F221*기본설정!$C$15,0),0))</f>
        <v/>
      </c>
      <c r="H221" s="15">
        <f>IF($F221="","",$F221+$G221)</f>
        <v/>
      </c>
      <c r="I221" s="8" t="n"/>
      <c r="J221" s="8" t="n"/>
      <c r="K221" s="14">
        <f>IF($F221="","",IF($I221="예",ROUND($F221*기본설정!$C$14,0),0))</f>
        <v/>
      </c>
      <c r="L221" s="8" t="n"/>
    </row>
    <row r="222">
      <c r="B222" s="13" t="n"/>
      <c r="C222" s="8" t="n"/>
      <c r="D222" s="8" t="n"/>
      <c r="E222" s="8" t="n"/>
      <c r="F222" s="11" t="n"/>
      <c r="G222" s="14">
        <f>IF($F222="","",IF(기본설정!$C$9="일반과세자",ROUND($F222*기본설정!$C$15,0),0))</f>
        <v/>
      </c>
      <c r="H222" s="15">
        <f>IF($F222="","",$F222+$G222)</f>
        <v/>
      </c>
      <c r="I222" s="8" t="n"/>
      <c r="J222" s="8" t="n"/>
      <c r="K222" s="14">
        <f>IF($F222="","",IF($I222="예",ROUND($F222*기본설정!$C$14,0),0))</f>
        <v/>
      </c>
      <c r="L222" s="8" t="n"/>
    </row>
    <row r="223">
      <c r="B223" s="13" t="n"/>
      <c r="C223" s="8" t="n"/>
      <c r="D223" s="8" t="n"/>
      <c r="E223" s="8" t="n"/>
      <c r="F223" s="11" t="n"/>
      <c r="G223" s="14">
        <f>IF($F223="","",IF(기본설정!$C$9="일반과세자",ROUND($F223*기본설정!$C$15,0),0))</f>
        <v/>
      </c>
      <c r="H223" s="15">
        <f>IF($F223="","",$F223+$G223)</f>
        <v/>
      </c>
      <c r="I223" s="8" t="n"/>
      <c r="J223" s="8" t="n"/>
      <c r="K223" s="14">
        <f>IF($F223="","",IF($I223="예",ROUND($F223*기본설정!$C$14,0),0))</f>
        <v/>
      </c>
      <c r="L223" s="8" t="n"/>
    </row>
    <row r="224">
      <c r="B224" s="13" t="n"/>
      <c r="C224" s="8" t="n"/>
      <c r="D224" s="8" t="n"/>
      <c r="E224" s="8" t="n"/>
      <c r="F224" s="11" t="n"/>
      <c r="G224" s="14">
        <f>IF($F224="","",IF(기본설정!$C$9="일반과세자",ROUND($F224*기본설정!$C$15,0),0))</f>
        <v/>
      </c>
      <c r="H224" s="15">
        <f>IF($F224="","",$F224+$G224)</f>
        <v/>
      </c>
      <c r="I224" s="8" t="n"/>
      <c r="J224" s="8" t="n"/>
      <c r="K224" s="14">
        <f>IF($F224="","",IF($I224="예",ROUND($F224*기본설정!$C$14,0),0))</f>
        <v/>
      </c>
      <c r="L224" s="8" t="n"/>
    </row>
    <row r="225">
      <c r="B225" s="13" t="n"/>
      <c r="C225" s="8" t="n"/>
      <c r="D225" s="8" t="n"/>
      <c r="E225" s="8" t="n"/>
      <c r="F225" s="11" t="n"/>
      <c r="G225" s="14">
        <f>IF($F225="","",IF(기본설정!$C$9="일반과세자",ROUND($F225*기본설정!$C$15,0),0))</f>
        <v/>
      </c>
      <c r="H225" s="15">
        <f>IF($F225="","",$F225+$G225)</f>
        <v/>
      </c>
      <c r="I225" s="8" t="n"/>
      <c r="J225" s="8" t="n"/>
      <c r="K225" s="14">
        <f>IF($F225="","",IF($I225="예",ROUND($F225*기본설정!$C$14,0),0))</f>
        <v/>
      </c>
      <c r="L225" s="8" t="n"/>
    </row>
    <row r="226">
      <c r="B226" s="13" t="n"/>
      <c r="C226" s="8" t="n"/>
      <c r="D226" s="8" t="n"/>
      <c r="E226" s="8" t="n"/>
      <c r="F226" s="11" t="n"/>
      <c r="G226" s="14">
        <f>IF($F226="","",IF(기본설정!$C$9="일반과세자",ROUND($F226*기본설정!$C$15,0),0))</f>
        <v/>
      </c>
      <c r="H226" s="15">
        <f>IF($F226="","",$F226+$G226)</f>
        <v/>
      </c>
      <c r="I226" s="8" t="n"/>
      <c r="J226" s="8" t="n"/>
      <c r="K226" s="14">
        <f>IF($F226="","",IF($I226="예",ROUND($F226*기본설정!$C$14,0),0))</f>
        <v/>
      </c>
      <c r="L226" s="8" t="n"/>
    </row>
    <row r="227">
      <c r="B227" s="13" t="n"/>
      <c r="C227" s="8" t="n"/>
      <c r="D227" s="8" t="n"/>
      <c r="E227" s="8" t="n"/>
      <c r="F227" s="11" t="n"/>
      <c r="G227" s="14">
        <f>IF($F227="","",IF(기본설정!$C$9="일반과세자",ROUND($F227*기본설정!$C$15,0),0))</f>
        <v/>
      </c>
      <c r="H227" s="15">
        <f>IF($F227="","",$F227+$G227)</f>
        <v/>
      </c>
      <c r="I227" s="8" t="n"/>
      <c r="J227" s="8" t="n"/>
      <c r="K227" s="14">
        <f>IF($F227="","",IF($I227="예",ROUND($F227*기본설정!$C$14,0),0))</f>
        <v/>
      </c>
      <c r="L227" s="8" t="n"/>
    </row>
    <row r="228">
      <c r="B228" s="13" t="n"/>
      <c r="C228" s="8" t="n"/>
      <c r="D228" s="8" t="n"/>
      <c r="E228" s="8" t="n"/>
      <c r="F228" s="11" t="n"/>
      <c r="G228" s="14">
        <f>IF($F228="","",IF(기본설정!$C$9="일반과세자",ROUND($F228*기본설정!$C$15,0),0))</f>
        <v/>
      </c>
      <c r="H228" s="15">
        <f>IF($F228="","",$F228+$G228)</f>
        <v/>
      </c>
      <c r="I228" s="8" t="n"/>
      <c r="J228" s="8" t="n"/>
      <c r="K228" s="14">
        <f>IF($F228="","",IF($I228="예",ROUND($F228*기본설정!$C$14,0),0))</f>
        <v/>
      </c>
      <c r="L228" s="8" t="n"/>
    </row>
    <row r="229">
      <c r="B229" s="13" t="n"/>
      <c r="C229" s="8" t="n"/>
      <c r="D229" s="8" t="n"/>
      <c r="E229" s="8" t="n"/>
      <c r="F229" s="11" t="n"/>
      <c r="G229" s="14">
        <f>IF($F229="","",IF(기본설정!$C$9="일반과세자",ROUND($F229*기본설정!$C$15,0),0))</f>
        <v/>
      </c>
      <c r="H229" s="15">
        <f>IF($F229="","",$F229+$G229)</f>
        <v/>
      </c>
      <c r="I229" s="8" t="n"/>
      <c r="J229" s="8" t="n"/>
      <c r="K229" s="14">
        <f>IF($F229="","",IF($I229="예",ROUND($F229*기본설정!$C$14,0),0))</f>
        <v/>
      </c>
      <c r="L229" s="8" t="n"/>
    </row>
    <row r="230">
      <c r="B230" s="13" t="n"/>
      <c r="C230" s="8" t="n"/>
      <c r="D230" s="8" t="n"/>
      <c r="E230" s="8" t="n"/>
      <c r="F230" s="11" t="n"/>
      <c r="G230" s="14">
        <f>IF($F230="","",IF(기본설정!$C$9="일반과세자",ROUND($F230*기본설정!$C$15,0),0))</f>
        <v/>
      </c>
      <c r="H230" s="15">
        <f>IF($F230="","",$F230+$G230)</f>
        <v/>
      </c>
      <c r="I230" s="8" t="n"/>
      <c r="J230" s="8" t="n"/>
      <c r="K230" s="14">
        <f>IF($F230="","",IF($I230="예",ROUND($F230*기본설정!$C$14,0),0))</f>
        <v/>
      </c>
      <c r="L230" s="8" t="n"/>
    </row>
    <row r="231">
      <c r="B231" s="13" t="n"/>
      <c r="C231" s="8" t="n"/>
      <c r="D231" s="8" t="n"/>
      <c r="E231" s="8" t="n"/>
      <c r="F231" s="11" t="n"/>
      <c r="G231" s="14">
        <f>IF($F231="","",IF(기본설정!$C$9="일반과세자",ROUND($F231*기본설정!$C$15,0),0))</f>
        <v/>
      </c>
      <c r="H231" s="15">
        <f>IF($F231="","",$F231+$G231)</f>
        <v/>
      </c>
      <c r="I231" s="8" t="n"/>
      <c r="J231" s="8" t="n"/>
      <c r="K231" s="14">
        <f>IF($F231="","",IF($I231="예",ROUND($F231*기본설정!$C$14,0),0))</f>
        <v/>
      </c>
      <c r="L231" s="8" t="n"/>
    </row>
    <row r="232">
      <c r="B232" s="13" t="n"/>
      <c r="C232" s="8" t="n"/>
      <c r="D232" s="8" t="n"/>
      <c r="E232" s="8" t="n"/>
      <c r="F232" s="11" t="n"/>
      <c r="G232" s="14">
        <f>IF($F232="","",IF(기본설정!$C$9="일반과세자",ROUND($F232*기본설정!$C$15,0),0))</f>
        <v/>
      </c>
      <c r="H232" s="15">
        <f>IF($F232="","",$F232+$G232)</f>
        <v/>
      </c>
      <c r="I232" s="8" t="n"/>
      <c r="J232" s="8" t="n"/>
      <c r="K232" s="14">
        <f>IF($F232="","",IF($I232="예",ROUND($F232*기본설정!$C$14,0),0))</f>
        <v/>
      </c>
      <c r="L232" s="8" t="n"/>
    </row>
    <row r="233">
      <c r="B233" s="13" t="n"/>
      <c r="C233" s="8" t="n"/>
      <c r="D233" s="8" t="n"/>
      <c r="E233" s="8" t="n"/>
      <c r="F233" s="11" t="n"/>
      <c r="G233" s="14">
        <f>IF($F233="","",IF(기본설정!$C$9="일반과세자",ROUND($F233*기본설정!$C$15,0),0))</f>
        <v/>
      </c>
      <c r="H233" s="15">
        <f>IF($F233="","",$F233+$G233)</f>
        <v/>
      </c>
      <c r="I233" s="8" t="n"/>
      <c r="J233" s="8" t="n"/>
      <c r="K233" s="14">
        <f>IF($F233="","",IF($I233="예",ROUND($F233*기본설정!$C$14,0),0))</f>
        <v/>
      </c>
      <c r="L233" s="8" t="n"/>
    </row>
    <row r="234">
      <c r="B234" s="13" t="n"/>
      <c r="C234" s="8" t="n"/>
      <c r="D234" s="8" t="n"/>
      <c r="E234" s="8" t="n"/>
      <c r="F234" s="11" t="n"/>
      <c r="G234" s="14">
        <f>IF($F234="","",IF(기본설정!$C$9="일반과세자",ROUND($F234*기본설정!$C$15,0),0))</f>
        <v/>
      </c>
      <c r="H234" s="15">
        <f>IF($F234="","",$F234+$G234)</f>
        <v/>
      </c>
      <c r="I234" s="8" t="n"/>
      <c r="J234" s="8" t="n"/>
      <c r="K234" s="14">
        <f>IF($F234="","",IF($I234="예",ROUND($F234*기본설정!$C$14,0),0))</f>
        <v/>
      </c>
      <c r="L234" s="8" t="n"/>
    </row>
    <row r="235">
      <c r="B235" s="13" t="n"/>
      <c r="C235" s="8" t="n"/>
      <c r="D235" s="8" t="n"/>
      <c r="E235" s="8" t="n"/>
      <c r="F235" s="11" t="n"/>
      <c r="G235" s="14">
        <f>IF($F235="","",IF(기본설정!$C$9="일반과세자",ROUND($F235*기본설정!$C$15,0),0))</f>
        <v/>
      </c>
      <c r="H235" s="15">
        <f>IF($F235="","",$F235+$G235)</f>
        <v/>
      </c>
      <c r="I235" s="8" t="n"/>
      <c r="J235" s="8" t="n"/>
      <c r="K235" s="14">
        <f>IF($F235="","",IF($I235="예",ROUND($F235*기본설정!$C$14,0),0))</f>
        <v/>
      </c>
      <c r="L235" s="8" t="n"/>
    </row>
    <row r="236">
      <c r="B236" s="13" t="n"/>
      <c r="C236" s="8" t="n"/>
      <c r="D236" s="8" t="n"/>
      <c r="E236" s="8" t="n"/>
      <c r="F236" s="11" t="n"/>
      <c r="G236" s="14">
        <f>IF($F236="","",IF(기본설정!$C$9="일반과세자",ROUND($F236*기본설정!$C$15,0),0))</f>
        <v/>
      </c>
      <c r="H236" s="15">
        <f>IF($F236="","",$F236+$G236)</f>
        <v/>
      </c>
      <c r="I236" s="8" t="n"/>
      <c r="J236" s="8" t="n"/>
      <c r="K236" s="14">
        <f>IF($F236="","",IF($I236="예",ROUND($F236*기본설정!$C$14,0),0))</f>
        <v/>
      </c>
      <c r="L236" s="8" t="n"/>
    </row>
    <row r="237">
      <c r="B237" s="13" t="n"/>
      <c r="C237" s="8" t="n"/>
      <c r="D237" s="8" t="n"/>
      <c r="E237" s="8" t="n"/>
      <c r="F237" s="11" t="n"/>
      <c r="G237" s="14">
        <f>IF($F237="","",IF(기본설정!$C$9="일반과세자",ROUND($F237*기본설정!$C$15,0),0))</f>
        <v/>
      </c>
      <c r="H237" s="15">
        <f>IF($F237="","",$F237+$G237)</f>
        <v/>
      </c>
      <c r="I237" s="8" t="n"/>
      <c r="J237" s="8" t="n"/>
      <c r="K237" s="14">
        <f>IF($F237="","",IF($I237="예",ROUND($F237*기본설정!$C$14,0),0))</f>
        <v/>
      </c>
      <c r="L237" s="8" t="n"/>
    </row>
    <row r="238">
      <c r="B238" s="13" t="n"/>
      <c r="C238" s="8" t="n"/>
      <c r="D238" s="8" t="n"/>
      <c r="E238" s="8" t="n"/>
      <c r="F238" s="11" t="n"/>
      <c r="G238" s="14">
        <f>IF($F238="","",IF(기본설정!$C$9="일반과세자",ROUND($F238*기본설정!$C$15,0),0))</f>
        <v/>
      </c>
      <c r="H238" s="15">
        <f>IF($F238="","",$F238+$G238)</f>
        <v/>
      </c>
      <c r="I238" s="8" t="n"/>
      <c r="J238" s="8" t="n"/>
      <c r="K238" s="14">
        <f>IF($F238="","",IF($I238="예",ROUND($F238*기본설정!$C$14,0),0))</f>
        <v/>
      </c>
      <c r="L238" s="8" t="n"/>
    </row>
    <row r="239">
      <c r="B239" s="13" t="n"/>
      <c r="C239" s="8" t="n"/>
      <c r="D239" s="8" t="n"/>
      <c r="E239" s="8" t="n"/>
      <c r="F239" s="11" t="n"/>
      <c r="G239" s="14">
        <f>IF($F239="","",IF(기본설정!$C$9="일반과세자",ROUND($F239*기본설정!$C$15,0),0))</f>
        <v/>
      </c>
      <c r="H239" s="15">
        <f>IF($F239="","",$F239+$G239)</f>
        <v/>
      </c>
      <c r="I239" s="8" t="n"/>
      <c r="J239" s="8" t="n"/>
      <c r="K239" s="14">
        <f>IF($F239="","",IF($I239="예",ROUND($F239*기본설정!$C$14,0),0))</f>
        <v/>
      </c>
      <c r="L239" s="8" t="n"/>
    </row>
    <row r="240">
      <c r="B240" s="13" t="n"/>
      <c r="C240" s="8" t="n"/>
      <c r="D240" s="8" t="n"/>
      <c r="E240" s="8" t="n"/>
      <c r="F240" s="11" t="n"/>
      <c r="G240" s="14">
        <f>IF($F240="","",IF(기본설정!$C$9="일반과세자",ROUND($F240*기본설정!$C$15,0),0))</f>
        <v/>
      </c>
      <c r="H240" s="15">
        <f>IF($F240="","",$F240+$G240)</f>
        <v/>
      </c>
      <c r="I240" s="8" t="n"/>
      <c r="J240" s="8" t="n"/>
      <c r="K240" s="14">
        <f>IF($F240="","",IF($I240="예",ROUND($F240*기본설정!$C$14,0),0))</f>
        <v/>
      </c>
      <c r="L240" s="8" t="n"/>
    </row>
    <row r="241">
      <c r="B241" s="13" t="n"/>
      <c r="C241" s="8" t="n"/>
      <c r="D241" s="8" t="n"/>
      <c r="E241" s="8" t="n"/>
      <c r="F241" s="11" t="n"/>
      <c r="G241" s="14">
        <f>IF($F241="","",IF(기본설정!$C$9="일반과세자",ROUND($F241*기본설정!$C$15,0),0))</f>
        <v/>
      </c>
      <c r="H241" s="15">
        <f>IF($F241="","",$F241+$G241)</f>
        <v/>
      </c>
      <c r="I241" s="8" t="n"/>
      <c r="J241" s="8" t="n"/>
      <c r="K241" s="14">
        <f>IF($F241="","",IF($I241="예",ROUND($F241*기본설정!$C$14,0),0))</f>
        <v/>
      </c>
      <c r="L241" s="8" t="n"/>
    </row>
    <row r="242">
      <c r="B242" s="13" t="n"/>
      <c r="C242" s="8" t="n"/>
      <c r="D242" s="8" t="n"/>
      <c r="E242" s="8" t="n"/>
      <c r="F242" s="11" t="n"/>
      <c r="G242" s="14">
        <f>IF($F242="","",IF(기본설정!$C$9="일반과세자",ROUND($F242*기본설정!$C$15,0),0))</f>
        <v/>
      </c>
      <c r="H242" s="15">
        <f>IF($F242="","",$F242+$G242)</f>
        <v/>
      </c>
      <c r="I242" s="8" t="n"/>
      <c r="J242" s="8" t="n"/>
      <c r="K242" s="14">
        <f>IF($F242="","",IF($I242="예",ROUND($F242*기본설정!$C$14,0),0))</f>
        <v/>
      </c>
      <c r="L242" s="8" t="n"/>
    </row>
    <row r="243">
      <c r="B243" s="13" t="n"/>
      <c r="C243" s="8" t="n"/>
      <c r="D243" s="8" t="n"/>
      <c r="E243" s="8" t="n"/>
      <c r="F243" s="11" t="n"/>
      <c r="G243" s="14">
        <f>IF($F243="","",IF(기본설정!$C$9="일반과세자",ROUND($F243*기본설정!$C$15,0),0))</f>
        <v/>
      </c>
      <c r="H243" s="15">
        <f>IF($F243="","",$F243+$G243)</f>
        <v/>
      </c>
      <c r="I243" s="8" t="n"/>
      <c r="J243" s="8" t="n"/>
      <c r="K243" s="14">
        <f>IF($F243="","",IF($I243="예",ROUND($F243*기본설정!$C$14,0),0))</f>
        <v/>
      </c>
      <c r="L243" s="8" t="n"/>
    </row>
    <row r="244">
      <c r="B244" s="13" t="n"/>
      <c r="C244" s="8" t="n"/>
      <c r="D244" s="8" t="n"/>
      <c r="E244" s="8" t="n"/>
      <c r="F244" s="11" t="n"/>
      <c r="G244" s="14">
        <f>IF($F244="","",IF(기본설정!$C$9="일반과세자",ROUND($F244*기본설정!$C$15,0),0))</f>
        <v/>
      </c>
      <c r="H244" s="15">
        <f>IF($F244="","",$F244+$G244)</f>
        <v/>
      </c>
      <c r="I244" s="8" t="n"/>
      <c r="J244" s="8" t="n"/>
      <c r="K244" s="14">
        <f>IF($F244="","",IF($I244="예",ROUND($F244*기본설정!$C$14,0),0))</f>
        <v/>
      </c>
      <c r="L244" s="8" t="n"/>
    </row>
    <row r="245">
      <c r="B245" s="13" t="n"/>
      <c r="C245" s="8" t="n"/>
      <c r="D245" s="8" t="n"/>
      <c r="E245" s="8" t="n"/>
      <c r="F245" s="11" t="n"/>
      <c r="G245" s="14">
        <f>IF($F245="","",IF(기본설정!$C$9="일반과세자",ROUND($F245*기본설정!$C$15,0),0))</f>
        <v/>
      </c>
      <c r="H245" s="15">
        <f>IF($F245="","",$F245+$G245)</f>
        <v/>
      </c>
      <c r="I245" s="8" t="n"/>
      <c r="J245" s="8" t="n"/>
      <c r="K245" s="14">
        <f>IF($F245="","",IF($I245="예",ROUND($F245*기본설정!$C$14,0),0))</f>
        <v/>
      </c>
      <c r="L245" s="8" t="n"/>
    </row>
    <row r="246">
      <c r="B246" s="13" t="n"/>
      <c r="C246" s="8" t="n"/>
      <c r="D246" s="8" t="n"/>
      <c r="E246" s="8" t="n"/>
      <c r="F246" s="11" t="n"/>
      <c r="G246" s="14">
        <f>IF($F246="","",IF(기본설정!$C$9="일반과세자",ROUND($F246*기본설정!$C$15,0),0))</f>
        <v/>
      </c>
      <c r="H246" s="15">
        <f>IF($F246="","",$F246+$G246)</f>
        <v/>
      </c>
      <c r="I246" s="8" t="n"/>
      <c r="J246" s="8" t="n"/>
      <c r="K246" s="14">
        <f>IF($F246="","",IF($I246="예",ROUND($F246*기본설정!$C$14,0),0))</f>
        <v/>
      </c>
      <c r="L246" s="8" t="n"/>
    </row>
    <row r="247">
      <c r="B247" s="13" t="n"/>
      <c r="C247" s="8" t="n"/>
      <c r="D247" s="8" t="n"/>
      <c r="E247" s="8" t="n"/>
      <c r="F247" s="11" t="n"/>
      <c r="G247" s="14">
        <f>IF($F247="","",IF(기본설정!$C$9="일반과세자",ROUND($F247*기본설정!$C$15,0),0))</f>
        <v/>
      </c>
      <c r="H247" s="15">
        <f>IF($F247="","",$F247+$G247)</f>
        <v/>
      </c>
      <c r="I247" s="8" t="n"/>
      <c r="J247" s="8" t="n"/>
      <c r="K247" s="14">
        <f>IF($F247="","",IF($I247="예",ROUND($F247*기본설정!$C$14,0),0))</f>
        <v/>
      </c>
      <c r="L247" s="8" t="n"/>
    </row>
    <row r="248">
      <c r="B248" s="13" t="n"/>
      <c r="C248" s="8" t="n"/>
      <c r="D248" s="8" t="n"/>
      <c r="E248" s="8" t="n"/>
      <c r="F248" s="11" t="n"/>
      <c r="G248" s="14">
        <f>IF($F248="","",IF(기본설정!$C$9="일반과세자",ROUND($F248*기본설정!$C$15,0),0))</f>
        <v/>
      </c>
      <c r="H248" s="15">
        <f>IF($F248="","",$F248+$G248)</f>
        <v/>
      </c>
      <c r="I248" s="8" t="n"/>
      <c r="J248" s="8" t="n"/>
      <c r="K248" s="14">
        <f>IF($F248="","",IF($I248="예",ROUND($F248*기본설정!$C$14,0),0))</f>
        <v/>
      </c>
      <c r="L248" s="8" t="n"/>
    </row>
    <row r="249">
      <c r="B249" s="13" t="n"/>
      <c r="C249" s="8" t="n"/>
      <c r="D249" s="8" t="n"/>
      <c r="E249" s="8" t="n"/>
      <c r="F249" s="11" t="n"/>
      <c r="G249" s="14">
        <f>IF($F249="","",IF(기본설정!$C$9="일반과세자",ROUND($F249*기본설정!$C$15,0),0))</f>
        <v/>
      </c>
      <c r="H249" s="15">
        <f>IF($F249="","",$F249+$G249)</f>
        <v/>
      </c>
      <c r="I249" s="8" t="n"/>
      <c r="J249" s="8" t="n"/>
      <c r="K249" s="14">
        <f>IF($F249="","",IF($I249="예",ROUND($F249*기본설정!$C$14,0),0))</f>
        <v/>
      </c>
      <c r="L249" s="8" t="n"/>
    </row>
    <row r="250">
      <c r="B250" s="13" t="n"/>
      <c r="C250" s="8" t="n"/>
      <c r="D250" s="8" t="n"/>
      <c r="E250" s="8" t="n"/>
      <c r="F250" s="11" t="n"/>
      <c r="G250" s="14">
        <f>IF($F250="","",IF(기본설정!$C$9="일반과세자",ROUND($F250*기본설정!$C$15,0),0))</f>
        <v/>
      </c>
      <c r="H250" s="15">
        <f>IF($F250="","",$F250+$G250)</f>
        <v/>
      </c>
      <c r="I250" s="8" t="n"/>
      <c r="J250" s="8" t="n"/>
      <c r="K250" s="14">
        <f>IF($F250="","",IF($I250="예",ROUND($F250*기본설정!$C$14,0),0))</f>
        <v/>
      </c>
      <c r="L250" s="8" t="n"/>
    </row>
    <row r="251">
      <c r="B251" s="13" t="n"/>
      <c r="C251" s="8" t="n"/>
      <c r="D251" s="8" t="n"/>
      <c r="E251" s="8" t="n"/>
      <c r="F251" s="11" t="n"/>
      <c r="G251" s="14">
        <f>IF($F251="","",IF(기본설정!$C$9="일반과세자",ROUND($F251*기본설정!$C$15,0),0))</f>
        <v/>
      </c>
      <c r="H251" s="15">
        <f>IF($F251="","",$F251+$G251)</f>
        <v/>
      </c>
      <c r="I251" s="8" t="n"/>
      <c r="J251" s="8" t="n"/>
      <c r="K251" s="14">
        <f>IF($F251="","",IF($I251="예",ROUND($F251*기본설정!$C$14,0),0))</f>
        <v/>
      </c>
      <c r="L251" s="8" t="n"/>
    </row>
    <row r="252">
      <c r="B252" s="13" t="n"/>
      <c r="C252" s="8" t="n"/>
      <c r="D252" s="8" t="n"/>
      <c r="E252" s="8" t="n"/>
      <c r="F252" s="11" t="n"/>
      <c r="G252" s="14">
        <f>IF($F252="","",IF(기본설정!$C$9="일반과세자",ROUND($F252*기본설정!$C$15,0),0))</f>
        <v/>
      </c>
      <c r="H252" s="15">
        <f>IF($F252="","",$F252+$G252)</f>
        <v/>
      </c>
      <c r="I252" s="8" t="n"/>
      <c r="J252" s="8" t="n"/>
      <c r="K252" s="14">
        <f>IF($F252="","",IF($I252="예",ROUND($F252*기본설정!$C$14,0),0))</f>
        <v/>
      </c>
      <c r="L252" s="8" t="n"/>
    </row>
    <row r="253">
      <c r="B253" s="13" t="n"/>
      <c r="C253" s="8" t="n"/>
      <c r="D253" s="8" t="n"/>
      <c r="E253" s="8" t="n"/>
      <c r="F253" s="11" t="n"/>
      <c r="G253" s="14">
        <f>IF($F253="","",IF(기본설정!$C$9="일반과세자",ROUND($F253*기본설정!$C$15,0),0))</f>
        <v/>
      </c>
      <c r="H253" s="15">
        <f>IF($F253="","",$F253+$G253)</f>
        <v/>
      </c>
      <c r="I253" s="8" t="n"/>
      <c r="J253" s="8" t="n"/>
      <c r="K253" s="14">
        <f>IF($F253="","",IF($I253="예",ROUND($F253*기본설정!$C$14,0),0))</f>
        <v/>
      </c>
      <c r="L253" s="8" t="n"/>
    </row>
    <row r="254">
      <c r="B254" s="13" t="n"/>
      <c r="C254" s="8" t="n"/>
      <c r="D254" s="8" t="n"/>
      <c r="E254" s="8" t="n"/>
      <c r="F254" s="11" t="n"/>
      <c r="G254" s="14">
        <f>IF($F254="","",IF(기본설정!$C$9="일반과세자",ROUND($F254*기본설정!$C$15,0),0))</f>
        <v/>
      </c>
      <c r="H254" s="15">
        <f>IF($F254="","",$F254+$G254)</f>
        <v/>
      </c>
      <c r="I254" s="8" t="n"/>
      <c r="J254" s="8" t="n"/>
      <c r="K254" s="14">
        <f>IF($F254="","",IF($I254="예",ROUND($F254*기본설정!$C$14,0),0))</f>
        <v/>
      </c>
      <c r="L254" s="8" t="n"/>
    </row>
    <row r="255">
      <c r="B255" s="13" t="n"/>
      <c r="C255" s="8" t="n"/>
      <c r="D255" s="8" t="n"/>
      <c r="E255" s="8" t="n"/>
      <c r="F255" s="11" t="n"/>
      <c r="G255" s="14">
        <f>IF($F255="","",IF(기본설정!$C$9="일반과세자",ROUND($F255*기본설정!$C$15,0),0))</f>
        <v/>
      </c>
      <c r="H255" s="15">
        <f>IF($F255="","",$F255+$G255)</f>
        <v/>
      </c>
      <c r="I255" s="8" t="n"/>
      <c r="J255" s="8" t="n"/>
      <c r="K255" s="14">
        <f>IF($F255="","",IF($I255="예",ROUND($F255*기본설정!$C$14,0),0))</f>
        <v/>
      </c>
      <c r="L255" s="8" t="n"/>
    </row>
    <row r="256">
      <c r="B256" s="13" t="n"/>
      <c r="C256" s="8" t="n"/>
      <c r="D256" s="8" t="n"/>
      <c r="E256" s="8" t="n"/>
      <c r="F256" s="11" t="n"/>
      <c r="G256" s="14">
        <f>IF($F256="","",IF(기본설정!$C$9="일반과세자",ROUND($F256*기본설정!$C$15,0),0))</f>
        <v/>
      </c>
      <c r="H256" s="15">
        <f>IF($F256="","",$F256+$G256)</f>
        <v/>
      </c>
      <c r="I256" s="8" t="n"/>
      <c r="J256" s="8" t="n"/>
      <c r="K256" s="14">
        <f>IF($F256="","",IF($I256="예",ROUND($F256*기본설정!$C$14,0),0))</f>
        <v/>
      </c>
      <c r="L256" s="8" t="n"/>
    </row>
    <row r="257">
      <c r="B257" s="13" t="n"/>
      <c r="C257" s="8" t="n"/>
      <c r="D257" s="8" t="n"/>
      <c r="E257" s="8" t="n"/>
      <c r="F257" s="11" t="n"/>
      <c r="G257" s="14">
        <f>IF($F257="","",IF(기본설정!$C$9="일반과세자",ROUND($F257*기본설정!$C$15,0),0))</f>
        <v/>
      </c>
      <c r="H257" s="15">
        <f>IF($F257="","",$F257+$G257)</f>
        <v/>
      </c>
      <c r="I257" s="8" t="n"/>
      <c r="J257" s="8" t="n"/>
      <c r="K257" s="14">
        <f>IF($F257="","",IF($I257="예",ROUND($F257*기본설정!$C$14,0),0))</f>
        <v/>
      </c>
      <c r="L257" s="8" t="n"/>
    </row>
    <row r="258">
      <c r="B258" s="13" t="n"/>
      <c r="C258" s="8" t="n"/>
      <c r="D258" s="8" t="n"/>
      <c r="E258" s="8" t="n"/>
      <c r="F258" s="11" t="n"/>
      <c r="G258" s="14">
        <f>IF($F258="","",IF(기본설정!$C$9="일반과세자",ROUND($F258*기본설정!$C$15,0),0))</f>
        <v/>
      </c>
      <c r="H258" s="15">
        <f>IF($F258="","",$F258+$G258)</f>
        <v/>
      </c>
      <c r="I258" s="8" t="n"/>
      <c r="J258" s="8" t="n"/>
      <c r="K258" s="14">
        <f>IF($F258="","",IF($I258="예",ROUND($F258*기본설정!$C$14,0),0))</f>
        <v/>
      </c>
      <c r="L258" s="8" t="n"/>
    </row>
    <row r="259">
      <c r="B259" s="13" t="n"/>
      <c r="C259" s="8" t="n"/>
      <c r="D259" s="8" t="n"/>
      <c r="E259" s="8" t="n"/>
      <c r="F259" s="11" t="n"/>
      <c r="G259" s="14">
        <f>IF($F259="","",IF(기본설정!$C$9="일반과세자",ROUND($F259*기본설정!$C$15,0),0))</f>
        <v/>
      </c>
      <c r="H259" s="15">
        <f>IF($F259="","",$F259+$G259)</f>
        <v/>
      </c>
      <c r="I259" s="8" t="n"/>
      <c r="J259" s="8" t="n"/>
      <c r="K259" s="14">
        <f>IF($F259="","",IF($I259="예",ROUND($F259*기본설정!$C$14,0),0))</f>
        <v/>
      </c>
      <c r="L259" s="8" t="n"/>
    </row>
    <row r="260">
      <c r="B260" s="13" t="n"/>
      <c r="C260" s="8" t="n"/>
      <c r="D260" s="8" t="n"/>
      <c r="E260" s="8" t="n"/>
      <c r="F260" s="11" t="n"/>
      <c r="G260" s="14">
        <f>IF($F260="","",IF(기본설정!$C$9="일반과세자",ROUND($F260*기본설정!$C$15,0),0))</f>
        <v/>
      </c>
      <c r="H260" s="15">
        <f>IF($F260="","",$F260+$G260)</f>
        <v/>
      </c>
      <c r="I260" s="8" t="n"/>
      <c r="J260" s="8" t="n"/>
      <c r="K260" s="14">
        <f>IF($F260="","",IF($I260="예",ROUND($F260*기본설정!$C$14,0),0))</f>
        <v/>
      </c>
      <c r="L260" s="8" t="n"/>
    </row>
    <row r="261">
      <c r="B261" s="13" t="n"/>
      <c r="C261" s="8" t="n"/>
      <c r="D261" s="8" t="n"/>
      <c r="E261" s="8" t="n"/>
      <c r="F261" s="11" t="n"/>
      <c r="G261" s="14">
        <f>IF($F261="","",IF(기본설정!$C$9="일반과세자",ROUND($F261*기본설정!$C$15,0),0))</f>
        <v/>
      </c>
      <c r="H261" s="15">
        <f>IF($F261="","",$F261+$G261)</f>
        <v/>
      </c>
      <c r="I261" s="8" t="n"/>
      <c r="J261" s="8" t="n"/>
      <c r="K261" s="14">
        <f>IF($F261="","",IF($I261="예",ROUND($F261*기본설정!$C$14,0),0))</f>
        <v/>
      </c>
      <c r="L261" s="8" t="n"/>
    </row>
    <row r="262">
      <c r="B262" s="13" t="n"/>
      <c r="C262" s="8" t="n"/>
      <c r="D262" s="8" t="n"/>
      <c r="E262" s="8" t="n"/>
      <c r="F262" s="11" t="n"/>
      <c r="G262" s="14">
        <f>IF($F262="","",IF(기본설정!$C$9="일반과세자",ROUND($F262*기본설정!$C$15,0),0))</f>
        <v/>
      </c>
      <c r="H262" s="15">
        <f>IF($F262="","",$F262+$G262)</f>
        <v/>
      </c>
      <c r="I262" s="8" t="n"/>
      <c r="J262" s="8" t="n"/>
      <c r="K262" s="14">
        <f>IF($F262="","",IF($I262="예",ROUND($F262*기본설정!$C$14,0),0))</f>
        <v/>
      </c>
      <c r="L262" s="8" t="n"/>
    </row>
    <row r="263">
      <c r="B263" s="13" t="n"/>
      <c r="C263" s="8" t="n"/>
      <c r="D263" s="8" t="n"/>
      <c r="E263" s="8" t="n"/>
      <c r="F263" s="11" t="n"/>
      <c r="G263" s="14">
        <f>IF($F263="","",IF(기본설정!$C$9="일반과세자",ROUND($F263*기본설정!$C$15,0),0))</f>
        <v/>
      </c>
      <c r="H263" s="15">
        <f>IF($F263="","",$F263+$G263)</f>
        <v/>
      </c>
      <c r="I263" s="8" t="n"/>
      <c r="J263" s="8" t="n"/>
      <c r="K263" s="14">
        <f>IF($F263="","",IF($I263="예",ROUND($F263*기본설정!$C$14,0),0))</f>
        <v/>
      </c>
      <c r="L263" s="8" t="n"/>
    </row>
    <row r="264">
      <c r="B264" s="13" t="n"/>
      <c r="C264" s="8" t="n"/>
      <c r="D264" s="8" t="n"/>
      <c r="E264" s="8" t="n"/>
      <c r="F264" s="11" t="n"/>
      <c r="G264" s="14">
        <f>IF($F264="","",IF(기본설정!$C$9="일반과세자",ROUND($F264*기본설정!$C$15,0),0))</f>
        <v/>
      </c>
      <c r="H264" s="15">
        <f>IF($F264="","",$F264+$G264)</f>
        <v/>
      </c>
      <c r="I264" s="8" t="n"/>
      <c r="J264" s="8" t="n"/>
      <c r="K264" s="14">
        <f>IF($F264="","",IF($I264="예",ROUND($F264*기본설정!$C$14,0),0))</f>
        <v/>
      </c>
      <c r="L264" s="8" t="n"/>
    </row>
    <row r="265">
      <c r="B265" s="13" t="n"/>
      <c r="C265" s="8" t="n"/>
      <c r="D265" s="8" t="n"/>
      <c r="E265" s="8" t="n"/>
      <c r="F265" s="11" t="n"/>
      <c r="G265" s="14">
        <f>IF($F265="","",IF(기본설정!$C$9="일반과세자",ROUND($F265*기본설정!$C$15,0),0))</f>
        <v/>
      </c>
      <c r="H265" s="15">
        <f>IF($F265="","",$F265+$G265)</f>
        <v/>
      </c>
      <c r="I265" s="8" t="n"/>
      <c r="J265" s="8" t="n"/>
      <c r="K265" s="14">
        <f>IF($F265="","",IF($I265="예",ROUND($F265*기본설정!$C$14,0),0))</f>
        <v/>
      </c>
      <c r="L265" s="8" t="n"/>
    </row>
    <row r="266">
      <c r="B266" s="13" t="n"/>
      <c r="C266" s="8" t="n"/>
      <c r="D266" s="8" t="n"/>
      <c r="E266" s="8" t="n"/>
      <c r="F266" s="11" t="n"/>
      <c r="G266" s="14">
        <f>IF($F266="","",IF(기본설정!$C$9="일반과세자",ROUND($F266*기본설정!$C$15,0),0))</f>
        <v/>
      </c>
      <c r="H266" s="15">
        <f>IF($F266="","",$F266+$G266)</f>
        <v/>
      </c>
      <c r="I266" s="8" t="n"/>
      <c r="J266" s="8" t="n"/>
      <c r="K266" s="14">
        <f>IF($F266="","",IF($I266="예",ROUND($F266*기본설정!$C$14,0),0))</f>
        <v/>
      </c>
      <c r="L266" s="8" t="n"/>
    </row>
    <row r="267">
      <c r="B267" s="13" t="n"/>
      <c r="C267" s="8" t="n"/>
      <c r="D267" s="8" t="n"/>
      <c r="E267" s="8" t="n"/>
      <c r="F267" s="11" t="n"/>
      <c r="G267" s="14">
        <f>IF($F267="","",IF(기본설정!$C$9="일반과세자",ROUND($F267*기본설정!$C$15,0),0))</f>
        <v/>
      </c>
      <c r="H267" s="15">
        <f>IF($F267="","",$F267+$G267)</f>
        <v/>
      </c>
      <c r="I267" s="8" t="n"/>
      <c r="J267" s="8" t="n"/>
      <c r="K267" s="14">
        <f>IF($F267="","",IF($I267="예",ROUND($F267*기본설정!$C$14,0),0))</f>
        <v/>
      </c>
      <c r="L267" s="8" t="n"/>
    </row>
    <row r="268">
      <c r="B268" s="13" t="n"/>
      <c r="C268" s="8" t="n"/>
      <c r="D268" s="8" t="n"/>
      <c r="E268" s="8" t="n"/>
      <c r="F268" s="11" t="n"/>
      <c r="G268" s="14">
        <f>IF($F268="","",IF(기본설정!$C$9="일반과세자",ROUND($F268*기본설정!$C$15,0),0))</f>
        <v/>
      </c>
      <c r="H268" s="15">
        <f>IF($F268="","",$F268+$G268)</f>
        <v/>
      </c>
      <c r="I268" s="8" t="n"/>
      <c r="J268" s="8" t="n"/>
      <c r="K268" s="14">
        <f>IF($F268="","",IF($I268="예",ROUND($F268*기본설정!$C$14,0),0))</f>
        <v/>
      </c>
      <c r="L268" s="8" t="n"/>
    </row>
    <row r="269">
      <c r="B269" s="13" t="n"/>
      <c r="C269" s="8" t="n"/>
      <c r="D269" s="8" t="n"/>
      <c r="E269" s="8" t="n"/>
      <c r="F269" s="11" t="n"/>
      <c r="G269" s="14">
        <f>IF($F269="","",IF(기본설정!$C$9="일반과세자",ROUND($F269*기본설정!$C$15,0),0))</f>
        <v/>
      </c>
      <c r="H269" s="15">
        <f>IF($F269="","",$F269+$G269)</f>
        <v/>
      </c>
      <c r="I269" s="8" t="n"/>
      <c r="J269" s="8" t="n"/>
      <c r="K269" s="14">
        <f>IF($F269="","",IF($I269="예",ROUND($F269*기본설정!$C$14,0),0))</f>
        <v/>
      </c>
      <c r="L269" s="8" t="n"/>
    </row>
    <row r="270">
      <c r="B270" s="13" t="n"/>
      <c r="C270" s="8" t="n"/>
      <c r="D270" s="8" t="n"/>
      <c r="E270" s="8" t="n"/>
      <c r="F270" s="11" t="n"/>
      <c r="G270" s="14">
        <f>IF($F270="","",IF(기본설정!$C$9="일반과세자",ROUND($F270*기본설정!$C$15,0),0))</f>
        <v/>
      </c>
      <c r="H270" s="15">
        <f>IF($F270="","",$F270+$G270)</f>
        <v/>
      </c>
      <c r="I270" s="8" t="n"/>
      <c r="J270" s="8" t="n"/>
      <c r="K270" s="14">
        <f>IF($F270="","",IF($I270="예",ROUND($F270*기본설정!$C$14,0),0))</f>
        <v/>
      </c>
      <c r="L270" s="8" t="n"/>
    </row>
    <row r="271">
      <c r="B271" s="13" t="n"/>
      <c r="C271" s="8" t="n"/>
      <c r="D271" s="8" t="n"/>
      <c r="E271" s="8" t="n"/>
      <c r="F271" s="11" t="n"/>
      <c r="G271" s="14">
        <f>IF($F271="","",IF(기본설정!$C$9="일반과세자",ROUND($F271*기본설정!$C$15,0),0))</f>
        <v/>
      </c>
      <c r="H271" s="15">
        <f>IF($F271="","",$F271+$G271)</f>
        <v/>
      </c>
      <c r="I271" s="8" t="n"/>
      <c r="J271" s="8" t="n"/>
      <c r="K271" s="14">
        <f>IF($F271="","",IF($I271="예",ROUND($F271*기본설정!$C$14,0),0))</f>
        <v/>
      </c>
      <c r="L271" s="8" t="n"/>
    </row>
    <row r="272">
      <c r="B272" s="13" t="n"/>
      <c r="C272" s="8" t="n"/>
      <c r="D272" s="8" t="n"/>
      <c r="E272" s="8" t="n"/>
      <c r="F272" s="11" t="n"/>
      <c r="G272" s="14">
        <f>IF($F272="","",IF(기본설정!$C$9="일반과세자",ROUND($F272*기본설정!$C$15,0),0))</f>
        <v/>
      </c>
      <c r="H272" s="15">
        <f>IF($F272="","",$F272+$G272)</f>
        <v/>
      </c>
      <c r="I272" s="8" t="n"/>
      <c r="J272" s="8" t="n"/>
      <c r="K272" s="14">
        <f>IF($F272="","",IF($I272="예",ROUND($F272*기본설정!$C$14,0),0))</f>
        <v/>
      </c>
      <c r="L272" s="8" t="n"/>
    </row>
    <row r="273">
      <c r="B273" s="13" t="n"/>
      <c r="C273" s="8" t="n"/>
      <c r="D273" s="8" t="n"/>
      <c r="E273" s="8" t="n"/>
      <c r="F273" s="11" t="n"/>
      <c r="G273" s="14">
        <f>IF($F273="","",IF(기본설정!$C$9="일반과세자",ROUND($F273*기본설정!$C$15,0),0))</f>
        <v/>
      </c>
      <c r="H273" s="15">
        <f>IF($F273="","",$F273+$G273)</f>
        <v/>
      </c>
      <c r="I273" s="8" t="n"/>
      <c r="J273" s="8" t="n"/>
      <c r="K273" s="14">
        <f>IF($F273="","",IF($I273="예",ROUND($F273*기본설정!$C$14,0),0))</f>
        <v/>
      </c>
      <c r="L273" s="8" t="n"/>
    </row>
    <row r="274">
      <c r="B274" s="13" t="n"/>
      <c r="C274" s="8" t="n"/>
      <c r="D274" s="8" t="n"/>
      <c r="E274" s="8" t="n"/>
      <c r="F274" s="11" t="n"/>
      <c r="G274" s="14">
        <f>IF($F274="","",IF(기본설정!$C$9="일반과세자",ROUND($F274*기본설정!$C$15,0),0))</f>
        <v/>
      </c>
      <c r="H274" s="15">
        <f>IF($F274="","",$F274+$G274)</f>
        <v/>
      </c>
      <c r="I274" s="8" t="n"/>
      <c r="J274" s="8" t="n"/>
      <c r="K274" s="14">
        <f>IF($F274="","",IF($I274="예",ROUND($F274*기본설정!$C$14,0),0))</f>
        <v/>
      </c>
      <c r="L274" s="8" t="n"/>
    </row>
    <row r="275">
      <c r="B275" s="13" t="n"/>
      <c r="C275" s="8" t="n"/>
      <c r="D275" s="8" t="n"/>
      <c r="E275" s="8" t="n"/>
      <c r="F275" s="11" t="n"/>
      <c r="G275" s="14">
        <f>IF($F275="","",IF(기본설정!$C$9="일반과세자",ROUND($F275*기본설정!$C$15,0),0))</f>
        <v/>
      </c>
      <c r="H275" s="15">
        <f>IF($F275="","",$F275+$G275)</f>
        <v/>
      </c>
      <c r="I275" s="8" t="n"/>
      <c r="J275" s="8" t="n"/>
      <c r="K275" s="14">
        <f>IF($F275="","",IF($I275="예",ROUND($F275*기본설정!$C$14,0),0))</f>
        <v/>
      </c>
      <c r="L275" s="8" t="n"/>
    </row>
    <row r="276">
      <c r="B276" s="13" t="n"/>
      <c r="C276" s="8" t="n"/>
      <c r="D276" s="8" t="n"/>
      <c r="E276" s="8" t="n"/>
      <c r="F276" s="11" t="n"/>
      <c r="G276" s="14">
        <f>IF($F276="","",IF(기본설정!$C$9="일반과세자",ROUND($F276*기본설정!$C$15,0),0))</f>
        <v/>
      </c>
      <c r="H276" s="15">
        <f>IF($F276="","",$F276+$G276)</f>
        <v/>
      </c>
      <c r="I276" s="8" t="n"/>
      <c r="J276" s="8" t="n"/>
      <c r="K276" s="14">
        <f>IF($F276="","",IF($I276="예",ROUND($F276*기본설정!$C$14,0),0))</f>
        <v/>
      </c>
      <c r="L276" s="8" t="n"/>
    </row>
    <row r="277">
      <c r="B277" s="13" t="n"/>
      <c r="C277" s="8" t="n"/>
      <c r="D277" s="8" t="n"/>
      <c r="E277" s="8" t="n"/>
      <c r="F277" s="11" t="n"/>
      <c r="G277" s="14">
        <f>IF($F277="","",IF(기본설정!$C$9="일반과세자",ROUND($F277*기본설정!$C$15,0),0))</f>
        <v/>
      </c>
      <c r="H277" s="15">
        <f>IF($F277="","",$F277+$G277)</f>
        <v/>
      </c>
      <c r="I277" s="8" t="n"/>
      <c r="J277" s="8" t="n"/>
      <c r="K277" s="14">
        <f>IF($F277="","",IF($I277="예",ROUND($F277*기본설정!$C$14,0),0))</f>
        <v/>
      </c>
      <c r="L277" s="8" t="n"/>
    </row>
    <row r="278">
      <c r="B278" s="13" t="n"/>
      <c r="C278" s="8" t="n"/>
      <c r="D278" s="8" t="n"/>
      <c r="E278" s="8" t="n"/>
      <c r="F278" s="11" t="n"/>
      <c r="G278" s="14">
        <f>IF($F278="","",IF(기본설정!$C$9="일반과세자",ROUND($F278*기본설정!$C$15,0),0))</f>
        <v/>
      </c>
      <c r="H278" s="15">
        <f>IF($F278="","",$F278+$G278)</f>
        <v/>
      </c>
      <c r="I278" s="8" t="n"/>
      <c r="J278" s="8" t="n"/>
      <c r="K278" s="14">
        <f>IF($F278="","",IF($I278="예",ROUND($F278*기본설정!$C$14,0),0))</f>
        <v/>
      </c>
      <c r="L278" s="8" t="n"/>
    </row>
    <row r="279">
      <c r="B279" s="13" t="n"/>
      <c r="C279" s="8" t="n"/>
      <c r="D279" s="8" t="n"/>
      <c r="E279" s="8" t="n"/>
      <c r="F279" s="11" t="n"/>
      <c r="G279" s="14">
        <f>IF($F279="","",IF(기본설정!$C$9="일반과세자",ROUND($F279*기본설정!$C$15,0),0))</f>
        <v/>
      </c>
      <c r="H279" s="15">
        <f>IF($F279="","",$F279+$G279)</f>
        <v/>
      </c>
      <c r="I279" s="8" t="n"/>
      <c r="J279" s="8" t="n"/>
      <c r="K279" s="14">
        <f>IF($F279="","",IF($I279="예",ROUND($F279*기본설정!$C$14,0),0))</f>
        <v/>
      </c>
      <c r="L279" s="8" t="n"/>
    </row>
    <row r="280">
      <c r="B280" s="13" t="n"/>
      <c r="C280" s="8" t="n"/>
      <c r="D280" s="8" t="n"/>
      <c r="E280" s="8" t="n"/>
      <c r="F280" s="11" t="n"/>
      <c r="G280" s="14">
        <f>IF($F280="","",IF(기본설정!$C$9="일반과세자",ROUND($F280*기본설정!$C$15,0),0))</f>
        <v/>
      </c>
      <c r="H280" s="15">
        <f>IF($F280="","",$F280+$G280)</f>
        <v/>
      </c>
      <c r="I280" s="8" t="n"/>
      <c r="J280" s="8" t="n"/>
      <c r="K280" s="14">
        <f>IF($F280="","",IF($I280="예",ROUND($F280*기본설정!$C$14,0),0))</f>
        <v/>
      </c>
      <c r="L280" s="8" t="n"/>
    </row>
    <row r="281">
      <c r="B281" s="13" t="n"/>
      <c r="C281" s="8" t="n"/>
      <c r="D281" s="8" t="n"/>
      <c r="E281" s="8" t="n"/>
      <c r="F281" s="11" t="n"/>
      <c r="G281" s="14">
        <f>IF($F281="","",IF(기본설정!$C$9="일반과세자",ROUND($F281*기본설정!$C$15,0),0))</f>
        <v/>
      </c>
      <c r="H281" s="15">
        <f>IF($F281="","",$F281+$G281)</f>
        <v/>
      </c>
      <c r="I281" s="8" t="n"/>
      <c r="J281" s="8" t="n"/>
      <c r="K281" s="14">
        <f>IF($F281="","",IF($I281="예",ROUND($F281*기본설정!$C$14,0),0))</f>
        <v/>
      </c>
      <c r="L281" s="8" t="n"/>
    </row>
    <row r="282">
      <c r="B282" s="13" t="n"/>
      <c r="C282" s="8" t="n"/>
      <c r="D282" s="8" t="n"/>
      <c r="E282" s="8" t="n"/>
      <c r="F282" s="11" t="n"/>
      <c r="G282" s="14">
        <f>IF($F282="","",IF(기본설정!$C$9="일반과세자",ROUND($F282*기본설정!$C$15,0),0))</f>
        <v/>
      </c>
      <c r="H282" s="15">
        <f>IF($F282="","",$F282+$G282)</f>
        <v/>
      </c>
      <c r="I282" s="8" t="n"/>
      <c r="J282" s="8" t="n"/>
      <c r="K282" s="14">
        <f>IF($F282="","",IF($I282="예",ROUND($F282*기본설정!$C$14,0),0))</f>
        <v/>
      </c>
      <c r="L282" s="8" t="n"/>
    </row>
    <row r="283">
      <c r="B283" s="13" t="n"/>
      <c r="C283" s="8" t="n"/>
      <c r="D283" s="8" t="n"/>
      <c r="E283" s="8" t="n"/>
      <c r="F283" s="11" t="n"/>
      <c r="G283" s="14">
        <f>IF($F283="","",IF(기본설정!$C$9="일반과세자",ROUND($F283*기본설정!$C$15,0),0))</f>
        <v/>
      </c>
      <c r="H283" s="15">
        <f>IF($F283="","",$F283+$G283)</f>
        <v/>
      </c>
      <c r="I283" s="8" t="n"/>
      <c r="J283" s="8" t="n"/>
      <c r="K283" s="14">
        <f>IF($F283="","",IF($I283="예",ROUND($F283*기본설정!$C$14,0),0))</f>
        <v/>
      </c>
      <c r="L283" s="8" t="n"/>
    </row>
    <row r="284">
      <c r="B284" s="13" t="n"/>
      <c r="C284" s="8" t="n"/>
      <c r="D284" s="8" t="n"/>
      <c r="E284" s="8" t="n"/>
      <c r="F284" s="11" t="n"/>
      <c r="G284" s="14">
        <f>IF($F284="","",IF(기본설정!$C$9="일반과세자",ROUND($F284*기본설정!$C$15,0),0))</f>
        <v/>
      </c>
      <c r="H284" s="15">
        <f>IF($F284="","",$F284+$G284)</f>
        <v/>
      </c>
      <c r="I284" s="8" t="n"/>
      <c r="J284" s="8" t="n"/>
      <c r="K284" s="14">
        <f>IF($F284="","",IF($I284="예",ROUND($F284*기본설정!$C$14,0),0))</f>
        <v/>
      </c>
      <c r="L284" s="8" t="n"/>
    </row>
    <row r="285">
      <c r="B285" s="13" t="n"/>
      <c r="C285" s="8" t="n"/>
      <c r="D285" s="8" t="n"/>
      <c r="E285" s="8" t="n"/>
      <c r="F285" s="11" t="n"/>
      <c r="G285" s="14">
        <f>IF($F285="","",IF(기본설정!$C$9="일반과세자",ROUND($F285*기본설정!$C$15,0),0))</f>
        <v/>
      </c>
      <c r="H285" s="15">
        <f>IF($F285="","",$F285+$G285)</f>
        <v/>
      </c>
      <c r="I285" s="8" t="n"/>
      <c r="J285" s="8" t="n"/>
      <c r="K285" s="14">
        <f>IF($F285="","",IF($I285="예",ROUND($F285*기본설정!$C$14,0),0))</f>
        <v/>
      </c>
      <c r="L285" s="8" t="n"/>
    </row>
    <row r="286">
      <c r="B286" s="13" t="n"/>
      <c r="C286" s="8" t="n"/>
      <c r="D286" s="8" t="n"/>
      <c r="E286" s="8" t="n"/>
      <c r="F286" s="11" t="n"/>
      <c r="G286" s="14">
        <f>IF($F286="","",IF(기본설정!$C$9="일반과세자",ROUND($F286*기본설정!$C$15,0),0))</f>
        <v/>
      </c>
      <c r="H286" s="15">
        <f>IF($F286="","",$F286+$G286)</f>
        <v/>
      </c>
      <c r="I286" s="8" t="n"/>
      <c r="J286" s="8" t="n"/>
      <c r="K286" s="14">
        <f>IF($F286="","",IF($I286="예",ROUND($F286*기본설정!$C$14,0),0))</f>
        <v/>
      </c>
      <c r="L286" s="8" t="n"/>
    </row>
    <row r="287">
      <c r="B287" s="13" t="n"/>
      <c r="C287" s="8" t="n"/>
      <c r="D287" s="8" t="n"/>
      <c r="E287" s="8" t="n"/>
      <c r="F287" s="11" t="n"/>
      <c r="G287" s="14">
        <f>IF($F287="","",IF(기본설정!$C$9="일반과세자",ROUND($F287*기본설정!$C$15,0),0))</f>
        <v/>
      </c>
      <c r="H287" s="15">
        <f>IF($F287="","",$F287+$G287)</f>
        <v/>
      </c>
      <c r="I287" s="8" t="n"/>
      <c r="J287" s="8" t="n"/>
      <c r="K287" s="14">
        <f>IF($F287="","",IF($I287="예",ROUND($F287*기본설정!$C$14,0),0))</f>
        <v/>
      </c>
      <c r="L287" s="8" t="n"/>
    </row>
    <row r="288">
      <c r="B288" s="13" t="n"/>
      <c r="C288" s="8" t="n"/>
      <c r="D288" s="8" t="n"/>
      <c r="E288" s="8" t="n"/>
      <c r="F288" s="11" t="n"/>
      <c r="G288" s="14">
        <f>IF($F288="","",IF(기본설정!$C$9="일반과세자",ROUND($F288*기본설정!$C$15,0),0))</f>
        <v/>
      </c>
      <c r="H288" s="15">
        <f>IF($F288="","",$F288+$G288)</f>
        <v/>
      </c>
      <c r="I288" s="8" t="n"/>
      <c r="J288" s="8" t="n"/>
      <c r="K288" s="14">
        <f>IF($F288="","",IF($I288="예",ROUND($F288*기본설정!$C$14,0),0))</f>
        <v/>
      </c>
      <c r="L288" s="8" t="n"/>
    </row>
    <row r="289">
      <c r="B289" s="13" t="n"/>
      <c r="C289" s="8" t="n"/>
      <c r="D289" s="8" t="n"/>
      <c r="E289" s="8" t="n"/>
      <c r="F289" s="11" t="n"/>
      <c r="G289" s="14">
        <f>IF($F289="","",IF(기본설정!$C$9="일반과세자",ROUND($F289*기본설정!$C$15,0),0))</f>
        <v/>
      </c>
      <c r="H289" s="15">
        <f>IF($F289="","",$F289+$G289)</f>
        <v/>
      </c>
      <c r="I289" s="8" t="n"/>
      <c r="J289" s="8" t="n"/>
      <c r="K289" s="14">
        <f>IF($F289="","",IF($I289="예",ROUND($F289*기본설정!$C$14,0),0))</f>
        <v/>
      </c>
      <c r="L289" s="8" t="n"/>
    </row>
    <row r="290">
      <c r="B290" s="13" t="n"/>
      <c r="C290" s="8" t="n"/>
      <c r="D290" s="8" t="n"/>
      <c r="E290" s="8" t="n"/>
      <c r="F290" s="11" t="n"/>
      <c r="G290" s="14">
        <f>IF($F290="","",IF(기본설정!$C$9="일반과세자",ROUND($F290*기본설정!$C$15,0),0))</f>
        <v/>
      </c>
      <c r="H290" s="15">
        <f>IF($F290="","",$F290+$G290)</f>
        <v/>
      </c>
      <c r="I290" s="8" t="n"/>
      <c r="J290" s="8" t="n"/>
      <c r="K290" s="14">
        <f>IF($F290="","",IF($I290="예",ROUND($F290*기본설정!$C$14,0),0))</f>
        <v/>
      </c>
      <c r="L290" s="8" t="n"/>
    </row>
    <row r="291">
      <c r="B291" s="13" t="n"/>
      <c r="C291" s="8" t="n"/>
      <c r="D291" s="8" t="n"/>
      <c r="E291" s="8" t="n"/>
      <c r="F291" s="11" t="n"/>
      <c r="G291" s="14">
        <f>IF($F291="","",IF(기본설정!$C$9="일반과세자",ROUND($F291*기본설정!$C$15,0),0))</f>
        <v/>
      </c>
      <c r="H291" s="15">
        <f>IF($F291="","",$F291+$G291)</f>
        <v/>
      </c>
      <c r="I291" s="8" t="n"/>
      <c r="J291" s="8" t="n"/>
      <c r="K291" s="14">
        <f>IF($F291="","",IF($I291="예",ROUND($F291*기본설정!$C$14,0),0))</f>
        <v/>
      </c>
      <c r="L291" s="8" t="n"/>
    </row>
    <row r="292">
      <c r="B292" s="13" t="n"/>
      <c r="C292" s="8" t="n"/>
      <c r="D292" s="8" t="n"/>
      <c r="E292" s="8" t="n"/>
      <c r="F292" s="11" t="n"/>
      <c r="G292" s="14">
        <f>IF($F292="","",IF(기본설정!$C$9="일반과세자",ROUND($F292*기본설정!$C$15,0),0))</f>
        <v/>
      </c>
      <c r="H292" s="15">
        <f>IF($F292="","",$F292+$G292)</f>
        <v/>
      </c>
      <c r="I292" s="8" t="n"/>
      <c r="J292" s="8" t="n"/>
      <c r="K292" s="14">
        <f>IF($F292="","",IF($I292="예",ROUND($F292*기본설정!$C$14,0),0))</f>
        <v/>
      </c>
      <c r="L292" s="8" t="n"/>
    </row>
    <row r="293">
      <c r="B293" s="13" t="n"/>
      <c r="C293" s="8" t="n"/>
      <c r="D293" s="8" t="n"/>
      <c r="E293" s="8" t="n"/>
      <c r="F293" s="11" t="n"/>
      <c r="G293" s="14">
        <f>IF($F293="","",IF(기본설정!$C$9="일반과세자",ROUND($F293*기본설정!$C$15,0),0))</f>
        <v/>
      </c>
      <c r="H293" s="15">
        <f>IF($F293="","",$F293+$G293)</f>
        <v/>
      </c>
      <c r="I293" s="8" t="n"/>
      <c r="J293" s="8" t="n"/>
      <c r="K293" s="14">
        <f>IF($F293="","",IF($I293="예",ROUND($F293*기본설정!$C$14,0),0))</f>
        <v/>
      </c>
      <c r="L293" s="8" t="n"/>
    </row>
    <row r="294">
      <c r="B294" s="13" t="n"/>
      <c r="C294" s="8" t="n"/>
      <c r="D294" s="8" t="n"/>
      <c r="E294" s="8" t="n"/>
      <c r="F294" s="11" t="n"/>
      <c r="G294" s="14">
        <f>IF($F294="","",IF(기본설정!$C$9="일반과세자",ROUND($F294*기본설정!$C$15,0),0))</f>
        <v/>
      </c>
      <c r="H294" s="15">
        <f>IF($F294="","",$F294+$G294)</f>
        <v/>
      </c>
      <c r="I294" s="8" t="n"/>
      <c r="J294" s="8" t="n"/>
      <c r="K294" s="14">
        <f>IF($F294="","",IF($I294="예",ROUND($F294*기본설정!$C$14,0),0))</f>
        <v/>
      </c>
      <c r="L294" s="8" t="n"/>
    </row>
    <row r="295">
      <c r="B295" s="13" t="n"/>
      <c r="C295" s="8" t="n"/>
      <c r="D295" s="8" t="n"/>
      <c r="E295" s="8" t="n"/>
      <c r="F295" s="11" t="n"/>
      <c r="G295" s="14">
        <f>IF($F295="","",IF(기본설정!$C$9="일반과세자",ROUND($F295*기본설정!$C$15,0),0))</f>
        <v/>
      </c>
      <c r="H295" s="15">
        <f>IF($F295="","",$F295+$G295)</f>
        <v/>
      </c>
      <c r="I295" s="8" t="n"/>
      <c r="J295" s="8" t="n"/>
      <c r="K295" s="14">
        <f>IF($F295="","",IF($I295="예",ROUND($F295*기본설정!$C$14,0),0))</f>
        <v/>
      </c>
      <c r="L295" s="8" t="n"/>
    </row>
    <row r="296">
      <c r="B296" s="13" t="n"/>
      <c r="C296" s="8" t="n"/>
      <c r="D296" s="8" t="n"/>
      <c r="E296" s="8" t="n"/>
      <c r="F296" s="11" t="n"/>
      <c r="G296" s="14">
        <f>IF($F296="","",IF(기본설정!$C$9="일반과세자",ROUND($F296*기본설정!$C$15,0),0))</f>
        <v/>
      </c>
      <c r="H296" s="15">
        <f>IF($F296="","",$F296+$G296)</f>
        <v/>
      </c>
      <c r="I296" s="8" t="n"/>
      <c r="J296" s="8" t="n"/>
      <c r="K296" s="14">
        <f>IF($F296="","",IF($I296="예",ROUND($F296*기본설정!$C$14,0),0))</f>
        <v/>
      </c>
      <c r="L296" s="8" t="n"/>
    </row>
    <row r="297">
      <c r="B297" s="13" t="n"/>
      <c r="C297" s="8" t="n"/>
      <c r="D297" s="8" t="n"/>
      <c r="E297" s="8" t="n"/>
      <c r="F297" s="11" t="n"/>
      <c r="G297" s="14">
        <f>IF($F297="","",IF(기본설정!$C$9="일반과세자",ROUND($F297*기본설정!$C$15,0),0))</f>
        <v/>
      </c>
      <c r="H297" s="15">
        <f>IF($F297="","",$F297+$G297)</f>
        <v/>
      </c>
      <c r="I297" s="8" t="n"/>
      <c r="J297" s="8" t="n"/>
      <c r="K297" s="14">
        <f>IF($F297="","",IF($I297="예",ROUND($F297*기본설정!$C$14,0),0))</f>
        <v/>
      </c>
      <c r="L297" s="8" t="n"/>
    </row>
    <row r="298">
      <c r="B298" s="13" t="n"/>
      <c r="C298" s="8" t="n"/>
      <c r="D298" s="8" t="n"/>
      <c r="E298" s="8" t="n"/>
      <c r="F298" s="11" t="n"/>
      <c r="G298" s="14">
        <f>IF($F298="","",IF(기본설정!$C$9="일반과세자",ROUND($F298*기본설정!$C$15,0),0))</f>
        <v/>
      </c>
      <c r="H298" s="15">
        <f>IF($F298="","",$F298+$G298)</f>
        <v/>
      </c>
      <c r="I298" s="8" t="n"/>
      <c r="J298" s="8" t="n"/>
      <c r="K298" s="14">
        <f>IF($F298="","",IF($I298="예",ROUND($F298*기본설정!$C$14,0),0))</f>
        <v/>
      </c>
      <c r="L298" s="8" t="n"/>
    </row>
    <row r="299">
      <c r="B299" s="13" t="n"/>
      <c r="C299" s="8" t="n"/>
      <c r="D299" s="8" t="n"/>
      <c r="E299" s="8" t="n"/>
      <c r="F299" s="11" t="n"/>
      <c r="G299" s="14">
        <f>IF($F299="","",IF(기본설정!$C$9="일반과세자",ROUND($F299*기본설정!$C$15,0),0))</f>
        <v/>
      </c>
      <c r="H299" s="15">
        <f>IF($F299="","",$F299+$G299)</f>
        <v/>
      </c>
      <c r="I299" s="8" t="n"/>
      <c r="J299" s="8" t="n"/>
      <c r="K299" s="14">
        <f>IF($F299="","",IF($I299="예",ROUND($F299*기본설정!$C$14,0),0))</f>
        <v/>
      </c>
      <c r="L299" s="8" t="n"/>
    </row>
    <row r="300">
      <c r="B300" s="13" t="n"/>
      <c r="C300" s="8" t="n"/>
      <c r="D300" s="8" t="n"/>
      <c r="E300" s="8" t="n"/>
      <c r="F300" s="11" t="n"/>
      <c r="G300" s="14">
        <f>IF($F300="","",IF(기본설정!$C$9="일반과세자",ROUND($F300*기본설정!$C$15,0),0))</f>
        <v/>
      </c>
      <c r="H300" s="15">
        <f>IF($F300="","",$F300+$G300)</f>
        <v/>
      </c>
      <c r="I300" s="8" t="n"/>
      <c r="J300" s="8" t="n"/>
      <c r="K300" s="14">
        <f>IF($F300="","",IF($I300="예",ROUND($F300*기본설정!$C$14,0),0))</f>
        <v/>
      </c>
      <c r="L300" s="8" t="n"/>
    </row>
    <row r="301">
      <c r="B301" s="13" t="n"/>
      <c r="C301" s="8" t="n"/>
      <c r="D301" s="8" t="n"/>
      <c r="E301" s="8" t="n"/>
      <c r="F301" s="11" t="n"/>
      <c r="G301" s="14">
        <f>IF($F301="","",IF(기본설정!$C$9="일반과세자",ROUND($F301*기본설정!$C$15,0),0))</f>
        <v/>
      </c>
      <c r="H301" s="15">
        <f>IF($F301="","",$F301+$G301)</f>
        <v/>
      </c>
      <c r="I301" s="8" t="n"/>
      <c r="J301" s="8" t="n"/>
      <c r="K301" s="14">
        <f>IF($F301="","",IF($I301="예",ROUND($F301*기본설정!$C$14,0),0))</f>
        <v/>
      </c>
      <c r="L301" s="8" t="n"/>
    </row>
    <row r="302">
      <c r="B302" s="13" t="n"/>
      <c r="C302" s="8" t="n"/>
      <c r="D302" s="8" t="n"/>
      <c r="E302" s="8" t="n"/>
      <c r="F302" s="11" t="n"/>
      <c r="G302" s="14">
        <f>IF($F302="","",IF(기본설정!$C$9="일반과세자",ROUND($F302*기본설정!$C$15,0),0))</f>
        <v/>
      </c>
      <c r="H302" s="15">
        <f>IF($F302="","",$F302+$G302)</f>
        <v/>
      </c>
      <c r="I302" s="8" t="n"/>
      <c r="J302" s="8" t="n"/>
      <c r="K302" s="14">
        <f>IF($F302="","",IF($I302="예",ROUND($F302*기본설정!$C$14,0),0))</f>
        <v/>
      </c>
      <c r="L302" s="8" t="n"/>
    </row>
    <row r="303">
      <c r="B303" s="13" t="n"/>
      <c r="C303" s="8" t="n"/>
      <c r="D303" s="8" t="n"/>
      <c r="E303" s="8" t="n"/>
      <c r="F303" s="11" t="n"/>
      <c r="G303" s="14">
        <f>IF($F303="","",IF(기본설정!$C$9="일반과세자",ROUND($F303*기본설정!$C$15,0),0))</f>
        <v/>
      </c>
      <c r="H303" s="15">
        <f>IF($F303="","",$F303+$G303)</f>
        <v/>
      </c>
      <c r="I303" s="8" t="n"/>
      <c r="J303" s="8" t="n"/>
      <c r="K303" s="14">
        <f>IF($F303="","",IF($I303="예",ROUND($F303*기본설정!$C$14,0),0))</f>
        <v/>
      </c>
      <c r="L303" s="8" t="n"/>
    </row>
    <row r="304">
      <c r="B304" s="13" t="n"/>
      <c r="C304" s="8" t="n"/>
      <c r="D304" s="8" t="n"/>
      <c r="E304" s="8" t="n"/>
      <c r="F304" s="11" t="n"/>
      <c r="G304" s="14">
        <f>IF($F304="","",IF(기본설정!$C$9="일반과세자",ROUND($F304*기본설정!$C$15,0),0))</f>
        <v/>
      </c>
      <c r="H304" s="15">
        <f>IF($F304="","",$F304+$G304)</f>
        <v/>
      </c>
      <c r="I304" s="8" t="n"/>
      <c r="J304" s="8" t="n"/>
      <c r="K304" s="14">
        <f>IF($F304="","",IF($I304="예",ROUND($F304*기본설정!$C$14,0),0))</f>
        <v/>
      </c>
      <c r="L304" s="8" t="n"/>
    </row>
    <row r="305">
      <c r="B305" s="13" t="n"/>
      <c r="C305" s="8" t="n"/>
      <c r="D305" s="8" t="n"/>
      <c r="E305" s="8" t="n"/>
      <c r="F305" s="11" t="n"/>
      <c r="G305" s="14">
        <f>IF($F305="","",IF(기본설정!$C$9="일반과세자",ROUND($F305*기본설정!$C$15,0),0))</f>
        <v/>
      </c>
      <c r="H305" s="15">
        <f>IF($F305="","",$F305+$G305)</f>
        <v/>
      </c>
      <c r="I305" s="8" t="n"/>
      <c r="J305" s="8" t="n"/>
      <c r="K305" s="14">
        <f>IF($F305="","",IF($I305="예",ROUND($F305*기본설정!$C$14,0),0))</f>
        <v/>
      </c>
      <c r="L305" s="8" t="n"/>
    </row>
    <row r="306">
      <c r="B306" s="13" t="n"/>
      <c r="C306" s="8" t="n"/>
      <c r="D306" s="8" t="n"/>
      <c r="E306" s="8" t="n"/>
      <c r="F306" s="11" t="n"/>
      <c r="G306" s="14">
        <f>IF($F306="","",IF(기본설정!$C$9="일반과세자",ROUND($F306*기본설정!$C$15,0),0))</f>
        <v/>
      </c>
      <c r="H306" s="15">
        <f>IF($F306="","",$F306+$G306)</f>
        <v/>
      </c>
      <c r="I306" s="8" t="n"/>
      <c r="J306" s="8" t="n"/>
      <c r="K306" s="14">
        <f>IF($F306="","",IF($I306="예",ROUND($F306*기본설정!$C$14,0),0))</f>
        <v/>
      </c>
      <c r="L306" s="8" t="n"/>
    </row>
    <row r="307">
      <c r="B307" s="13" t="n"/>
      <c r="C307" s="8" t="n"/>
      <c r="D307" s="8" t="n"/>
      <c r="E307" s="8" t="n"/>
      <c r="F307" s="11" t="n"/>
      <c r="G307" s="14">
        <f>IF($F307="","",IF(기본설정!$C$9="일반과세자",ROUND($F307*기본설정!$C$15,0),0))</f>
        <v/>
      </c>
      <c r="H307" s="15">
        <f>IF($F307="","",$F307+$G307)</f>
        <v/>
      </c>
      <c r="I307" s="8" t="n"/>
      <c r="J307" s="8" t="n"/>
      <c r="K307" s="14">
        <f>IF($F307="","",IF($I307="예",ROUND($F307*기본설정!$C$14,0),0))</f>
        <v/>
      </c>
      <c r="L307" s="8" t="n"/>
    </row>
    <row r="308">
      <c r="B308" s="13" t="n"/>
      <c r="C308" s="8" t="n"/>
      <c r="D308" s="8" t="n"/>
      <c r="E308" s="8" t="n"/>
      <c r="F308" s="11" t="n"/>
      <c r="G308" s="14">
        <f>IF($F308="","",IF(기본설정!$C$9="일반과세자",ROUND($F308*기본설정!$C$15,0),0))</f>
        <v/>
      </c>
      <c r="H308" s="15">
        <f>IF($F308="","",$F308+$G308)</f>
        <v/>
      </c>
      <c r="I308" s="8" t="n"/>
      <c r="J308" s="8" t="n"/>
      <c r="K308" s="14">
        <f>IF($F308="","",IF($I308="예",ROUND($F308*기본설정!$C$14,0),0))</f>
        <v/>
      </c>
      <c r="L308" s="8" t="n"/>
    </row>
    <row r="309">
      <c r="B309" s="13" t="n"/>
      <c r="C309" s="8" t="n"/>
      <c r="D309" s="8" t="n"/>
      <c r="E309" s="8" t="n"/>
      <c r="F309" s="11" t="n"/>
      <c r="G309" s="14">
        <f>IF($F309="","",IF(기본설정!$C$9="일반과세자",ROUND($F309*기본설정!$C$15,0),0))</f>
        <v/>
      </c>
      <c r="H309" s="15">
        <f>IF($F309="","",$F309+$G309)</f>
        <v/>
      </c>
      <c r="I309" s="8" t="n"/>
      <c r="J309" s="8" t="n"/>
      <c r="K309" s="14">
        <f>IF($F309="","",IF($I309="예",ROUND($F309*기본설정!$C$14,0),0))</f>
        <v/>
      </c>
      <c r="L309" s="8" t="n"/>
    </row>
    <row r="310">
      <c r="B310" s="13" t="n"/>
      <c r="C310" s="8" t="n"/>
      <c r="D310" s="8" t="n"/>
      <c r="E310" s="8" t="n"/>
      <c r="F310" s="11" t="n"/>
      <c r="G310" s="14">
        <f>IF($F310="","",IF(기본설정!$C$9="일반과세자",ROUND($F310*기본설정!$C$15,0),0))</f>
        <v/>
      </c>
      <c r="H310" s="15">
        <f>IF($F310="","",$F310+$G310)</f>
        <v/>
      </c>
      <c r="I310" s="8" t="n"/>
      <c r="J310" s="8" t="n"/>
      <c r="K310" s="14">
        <f>IF($F310="","",IF($I310="예",ROUND($F310*기본설정!$C$14,0),0))</f>
        <v/>
      </c>
      <c r="L310" s="8" t="n"/>
    </row>
    <row r="311">
      <c r="B311" s="13" t="n"/>
      <c r="C311" s="8" t="n"/>
      <c r="D311" s="8" t="n"/>
      <c r="E311" s="8" t="n"/>
      <c r="F311" s="11" t="n"/>
      <c r="G311" s="14">
        <f>IF($F311="","",IF(기본설정!$C$9="일반과세자",ROUND($F311*기본설정!$C$15,0),0))</f>
        <v/>
      </c>
      <c r="H311" s="15">
        <f>IF($F311="","",$F311+$G311)</f>
        <v/>
      </c>
      <c r="I311" s="8" t="n"/>
      <c r="J311" s="8" t="n"/>
      <c r="K311" s="14">
        <f>IF($F311="","",IF($I311="예",ROUND($F311*기본설정!$C$14,0),0))</f>
        <v/>
      </c>
      <c r="L311" s="8" t="n"/>
    </row>
    <row r="312">
      <c r="B312" s="13" t="n"/>
      <c r="C312" s="8" t="n"/>
      <c r="D312" s="8" t="n"/>
      <c r="E312" s="8" t="n"/>
      <c r="F312" s="11" t="n"/>
      <c r="G312" s="14">
        <f>IF($F312="","",IF(기본설정!$C$9="일반과세자",ROUND($F312*기본설정!$C$15,0),0))</f>
        <v/>
      </c>
      <c r="H312" s="15">
        <f>IF($F312="","",$F312+$G312)</f>
        <v/>
      </c>
      <c r="I312" s="8" t="n"/>
      <c r="J312" s="8" t="n"/>
      <c r="K312" s="14">
        <f>IF($F312="","",IF($I312="예",ROUND($F312*기본설정!$C$14,0),0))</f>
        <v/>
      </c>
      <c r="L312" s="8" t="n"/>
    </row>
    <row r="313">
      <c r="B313" s="13" t="n"/>
      <c r="C313" s="8" t="n"/>
      <c r="D313" s="8" t="n"/>
      <c r="E313" s="8" t="n"/>
      <c r="F313" s="11" t="n"/>
      <c r="G313" s="14">
        <f>IF($F313="","",IF(기본설정!$C$9="일반과세자",ROUND($F313*기본설정!$C$15,0),0))</f>
        <v/>
      </c>
      <c r="H313" s="15">
        <f>IF($F313="","",$F313+$G313)</f>
        <v/>
      </c>
      <c r="I313" s="8" t="n"/>
      <c r="J313" s="8" t="n"/>
      <c r="K313" s="14">
        <f>IF($F313="","",IF($I313="예",ROUND($F313*기본설정!$C$14,0),0))</f>
        <v/>
      </c>
      <c r="L313" s="8" t="n"/>
    </row>
    <row r="314">
      <c r="B314" s="13" t="n"/>
      <c r="C314" s="8" t="n"/>
      <c r="D314" s="8" t="n"/>
      <c r="E314" s="8" t="n"/>
      <c r="F314" s="11" t="n"/>
      <c r="G314" s="14">
        <f>IF($F314="","",IF(기본설정!$C$9="일반과세자",ROUND($F314*기본설정!$C$15,0),0))</f>
        <v/>
      </c>
      <c r="H314" s="15">
        <f>IF($F314="","",$F314+$G314)</f>
        <v/>
      </c>
      <c r="I314" s="8" t="n"/>
      <c r="J314" s="8" t="n"/>
      <c r="K314" s="14">
        <f>IF($F314="","",IF($I314="예",ROUND($F314*기본설정!$C$14,0),0))</f>
        <v/>
      </c>
      <c r="L314" s="8" t="n"/>
    </row>
    <row r="315">
      <c r="B315" s="13" t="n"/>
      <c r="C315" s="8" t="n"/>
      <c r="D315" s="8" t="n"/>
      <c r="E315" s="8" t="n"/>
      <c r="F315" s="11" t="n"/>
      <c r="G315" s="14">
        <f>IF($F315="","",IF(기본설정!$C$9="일반과세자",ROUND($F315*기본설정!$C$15,0),0))</f>
        <v/>
      </c>
      <c r="H315" s="15">
        <f>IF($F315="","",$F315+$G315)</f>
        <v/>
      </c>
      <c r="I315" s="8" t="n"/>
      <c r="J315" s="8" t="n"/>
      <c r="K315" s="14">
        <f>IF($F315="","",IF($I315="예",ROUND($F315*기본설정!$C$14,0),0))</f>
        <v/>
      </c>
      <c r="L315" s="8" t="n"/>
    </row>
    <row r="316">
      <c r="B316" s="13" t="n"/>
      <c r="C316" s="8" t="n"/>
      <c r="D316" s="8" t="n"/>
      <c r="E316" s="8" t="n"/>
      <c r="F316" s="11" t="n"/>
      <c r="G316" s="14">
        <f>IF($F316="","",IF(기본설정!$C$9="일반과세자",ROUND($F316*기본설정!$C$15,0),0))</f>
        <v/>
      </c>
      <c r="H316" s="15">
        <f>IF($F316="","",$F316+$G316)</f>
        <v/>
      </c>
      <c r="I316" s="8" t="n"/>
      <c r="J316" s="8" t="n"/>
      <c r="K316" s="14">
        <f>IF($F316="","",IF($I316="예",ROUND($F316*기본설정!$C$14,0),0))</f>
        <v/>
      </c>
      <c r="L316" s="8" t="n"/>
    </row>
    <row r="317">
      <c r="B317" s="13" t="n"/>
      <c r="C317" s="8" t="n"/>
      <c r="D317" s="8" t="n"/>
      <c r="E317" s="8" t="n"/>
      <c r="F317" s="11" t="n"/>
      <c r="G317" s="14">
        <f>IF($F317="","",IF(기본설정!$C$9="일반과세자",ROUND($F317*기본설정!$C$15,0),0))</f>
        <v/>
      </c>
      <c r="H317" s="15">
        <f>IF($F317="","",$F317+$G317)</f>
        <v/>
      </c>
      <c r="I317" s="8" t="n"/>
      <c r="J317" s="8" t="n"/>
      <c r="K317" s="14">
        <f>IF($F317="","",IF($I317="예",ROUND($F317*기본설정!$C$14,0),0))</f>
        <v/>
      </c>
      <c r="L317" s="8" t="n"/>
    </row>
    <row r="318">
      <c r="B318" s="13" t="n"/>
      <c r="C318" s="8" t="n"/>
      <c r="D318" s="8" t="n"/>
      <c r="E318" s="8" t="n"/>
      <c r="F318" s="11" t="n"/>
      <c r="G318" s="14">
        <f>IF($F318="","",IF(기본설정!$C$9="일반과세자",ROUND($F318*기본설정!$C$15,0),0))</f>
        <v/>
      </c>
      <c r="H318" s="15">
        <f>IF($F318="","",$F318+$G318)</f>
        <v/>
      </c>
      <c r="I318" s="8" t="n"/>
      <c r="J318" s="8" t="n"/>
      <c r="K318" s="14">
        <f>IF($F318="","",IF($I318="예",ROUND($F318*기본설정!$C$14,0),0))</f>
        <v/>
      </c>
      <c r="L318" s="8" t="n"/>
    </row>
    <row r="319">
      <c r="B319" s="13" t="n"/>
      <c r="C319" s="8" t="n"/>
      <c r="D319" s="8" t="n"/>
      <c r="E319" s="8" t="n"/>
      <c r="F319" s="11" t="n"/>
      <c r="G319" s="14">
        <f>IF($F319="","",IF(기본설정!$C$9="일반과세자",ROUND($F319*기본설정!$C$15,0),0))</f>
        <v/>
      </c>
      <c r="H319" s="15">
        <f>IF($F319="","",$F319+$G319)</f>
        <v/>
      </c>
      <c r="I319" s="8" t="n"/>
      <c r="J319" s="8" t="n"/>
      <c r="K319" s="14">
        <f>IF($F319="","",IF($I319="예",ROUND($F319*기본설정!$C$14,0),0))</f>
        <v/>
      </c>
      <c r="L319" s="8" t="n"/>
    </row>
    <row r="320">
      <c r="B320" s="13" t="n"/>
      <c r="C320" s="8" t="n"/>
      <c r="D320" s="8" t="n"/>
      <c r="E320" s="8" t="n"/>
      <c r="F320" s="11" t="n"/>
      <c r="G320" s="14">
        <f>IF($F320="","",IF(기본설정!$C$9="일반과세자",ROUND($F320*기본설정!$C$15,0),0))</f>
        <v/>
      </c>
      <c r="H320" s="15">
        <f>IF($F320="","",$F320+$G320)</f>
        <v/>
      </c>
      <c r="I320" s="8" t="n"/>
      <c r="J320" s="8" t="n"/>
      <c r="K320" s="14">
        <f>IF($F320="","",IF($I320="예",ROUND($F320*기본설정!$C$14,0),0))</f>
        <v/>
      </c>
      <c r="L320" s="8" t="n"/>
    </row>
    <row r="321">
      <c r="B321" s="13" t="n"/>
      <c r="C321" s="8" t="n"/>
      <c r="D321" s="8" t="n"/>
      <c r="E321" s="8" t="n"/>
      <c r="F321" s="11" t="n"/>
      <c r="G321" s="14">
        <f>IF($F321="","",IF(기본설정!$C$9="일반과세자",ROUND($F321*기본설정!$C$15,0),0))</f>
        <v/>
      </c>
      <c r="H321" s="15">
        <f>IF($F321="","",$F321+$G321)</f>
        <v/>
      </c>
      <c r="I321" s="8" t="n"/>
      <c r="J321" s="8" t="n"/>
      <c r="K321" s="14">
        <f>IF($F321="","",IF($I321="예",ROUND($F321*기본설정!$C$14,0),0))</f>
        <v/>
      </c>
      <c r="L321" s="8" t="n"/>
    </row>
    <row r="322">
      <c r="B322" s="13" t="n"/>
      <c r="C322" s="8" t="n"/>
      <c r="D322" s="8" t="n"/>
      <c r="E322" s="8" t="n"/>
      <c r="F322" s="11" t="n"/>
      <c r="G322" s="14">
        <f>IF($F322="","",IF(기본설정!$C$9="일반과세자",ROUND($F322*기본설정!$C$15,0),0))</f>
        <v/>
      </c>
      <c r="H322" s="15">
        <f>IF($F322="","",$F322+$G322)</f>
        <v/>
      </c>
      <c r="I322" s="8" t="n"/>
      <c r="J322" s="8" t="n"/>
      <c r="K322" s="14">
        <f>IF($F322="","",IF($I322="예",ROUND($F322*기본설정!$C$14,0),0))</f>
        <v/>
      </c>
      <c r="L322" s="8" t="n"/>
    </row>
    <row r="323">
      <c r="B323" s="13" t="n"/>
      <c r="C323" s="8" t="n"/>
      <c r="D323" s="8" t="n"/>
      <c r="E323" s="8" t="n"/>
      <c r="F323" s="11" t="n"/>
      <c r="G323" s="14">
        <f>IF($F323="","",IF(기본설정!$C$9="일반과세자",ROUND($F323*기본설정!$C$15,0),0))</f>
        <v/>
      </c>
      <c r="H323" s="15">
        <f>IF($F323="","",$F323+$G323)</f>
        <v/>
      </c>
      <c r="I323" s="8" t="n"/>
      <c r="J323" s="8" t="n"/>
      <c r="K323" s="14">
        <f>IF($F323="","",IF($I323="예",ROUND($F323*기본설정!$C$14,0),0))</f>
        <v/>
      </c>
      <c r="L323" s="8" t="n"/>
    </row>
    <row r="324">
      <c r="B324" s="13" t="n"/>
      <c r="C324" s="8" t="n"/>
      <c r="D324" s="8" t="n"/>
      <c r="E324" s="8" t="n"/>
      <c r="F324" s="11" t="n"/>
      <c r="G324" s="14">
        <f>IF($F324="","",IF(기본설정!$C$9="일반과세자",ROUND($F324*기본설정!$C$15,0),0))</f>
        <v/>
      </c>
      <c r="H324" s="15">
        <f>IF($F324="","",$F324+$G324)</f>
        <v/>
      </c>
      <c r="I324" s="8" t="n"/>
      <c r="J324" s="8" t="n"/>
      <c r="K324" s="14">
        <f>IF($F324="","",IF($I324="예",ROUND($F324*기본설정!$C$14,0),0))</f>
        <v/>
      </c>
      <c r="L324" s="8" t="n"/>
    </row>
    <row r="325">
      <c r="B325" s="13" t="n"/>
      <c r="C325" s="8" t="n"/>
      <c r="D325" s="8" t="n"/>
      <c r="E325" s="8" t="n"/>
      <c r="F325" s="11" t="n"/>
      <c r="G325" s="14">
        <f>IF($F325="","",IF(기본설정!$C$9="일반과세자",ROUND($F325*기본설정!$C$15,0),0))</f>
        <v/>
      </c>
      <c r="H325" s="15">
        <f>IF($F325="","",$F325+$G325)</f>
        <v/>
      </c>
      <c r="I325" s="8" t="n"/>
      <c r="J325" s="8" t="n"/>
      <c r="K325" s="14">
        <f>IF($F325="","",IF($I325="예",ROUND($F325*기본설정!$C$14,0),0))</f>
        <v/>
      </c>
      <c r="L325" s="8" t="n"/>
    </row>
    <row r="326">
      <c r="B326" s="13" t="n"/>
      <c r="C326" s="8" t="n"/>
      <c r="D326" s="8" t="n"/>
      <c r="E326" s="8" t="n"/>
      <c r="F326" s="11" t="n"/>
      <c r="G326" s="14">
        <f>IF($F326="","",IF(기본설정!$C$9="일반과세자",ROUND($F326*기본설정!$C$15,0),0))</f>
        <v/>
      </c>
      <c r="H326" s="15">
        <f>IF($F326="","",$F326+$G326)</f>
        <v/>
      </c>
      <c r="I326" s="8" t="n"/>
      <c r="J326" s="8" t="n"/>
      <c r="K326" s="14">
        <f>IF($F326="","",IF($I326="예",ROUND($F326*기본설정!$C$14,0),0))</f>
        <v/>
      </c>
      <c r="L326" s="8" t="n"/>
    </row>
    <row r="327">
      <c r="B327" s="13" t="n"/>
      <c r="C327" s="8" t="n"/>
      <c r="D327" s="8" t="n"/>
      <c r="E327" s="8" t="n"/>
      <c r="F327" s="11" t="n"/>
      <c r="G327" s="14">
        <f>IF($F327="","",IF(기본설정!$C$9="일반과세자",ROUND($F327*기본설정!$C$15,0),0))</f>
        <v/>
      </c>
      <c r="H327" s="15">
        <f>IF($F327="","",$F327+$G327)</f>
        <v/>
      </c>
      <c r="I327" s="8" t="n"/>
      <c r="J327" s="8" t="n"/>
      <c r="K327" s="14">
        <f>IF($F327="","",IF($I327="예",ROUND($F327*기본설정!$C$14,0),0))</f>
        <v/>
      </c>
      <c r="L327" s="8" t="n"/>
    </row>
    <row r="328">
      <c r="B328" s="13" t="n"/>
      <c r="C328" s="8" t="n"/>
      <c r="D328" s="8" t="n"/>
      <c r="E328" s="8" t="n"/>
      <c r="F328" s="11" t="n"/>
      <c r="G328" s="14">
        <f>IF($F328="","",IF(기본설정!$C$9="일반과세자",ROUND($F328*기본설정!$C$15,0),0))</f>
        <v/>
      </c>
      <c r="H328" s="15">
        <f>IF($F328="","",$F328+$G328)</f>
        <v/>
      </c>
      <c r="I328" s="8" t="n"/>
      <c r="J328" s="8" t="n"/>
      <c r="K328" s="14">
        <f>IF($F328="","",IF($I328="예",ROUND($F328*기본설정!$C$14,0),0))</f>
        <v/>
      </c>
      <c r="L328" s="8" t="n"/>
    </row>
    <row r="329">
      <c r="B329" s="13" t="n"/>
      <c r="C329" s="8" t="n"/>
      <c r="D329" s="8" t="n"/>
      <c r="E329" s="8" t="n"/>
      <c r="F329" s="11" t="n"/>
      <c r="G329" s="14">
        <f>IF($F329="","",IF(기본설정!$C$9="일반과세자",ROUND($F329*기본설정!$C$15,0),0))</f>
        <v/>
      </c>
      <c r="H329" s="15">
        <f>IF($F329="","",$F329+$G329)</f>
        <v/>
      </c>
      <c r="I329" s="8" t="n"/>
      <c r="J329" s="8" t="n"/>
      <c r="K329" s="14">
        <f>IF($F329="","",IF($I329="예",ROUND($F329*기본설정!$C$14,0),0))</f>
        <v/>
      </c>
      <c r="L329" s="8" t="n"/>
    </row>
    <row r="330">
      <c r="B330" s="13" t="n"/>
      <c r="C330" s="8" t="n"/>
      <c r="D330" s="8" t="n"/>
      <c r="E330" s="8" t="n"/>
      <c r="F330" s="11" t="n"/>
      <c r="G330" s="14">
        <f>IF($F330="","",IF(기본설정!$C$9="일반과세자",ROUND($F330*기본설정!$C$15,0),0))</f>
        <v/>
      </c>
      <c r="H330" s="15">
        <f>IF($F330="","",$F330+$G330)</f>
        <v/>
      </c>
      <c r="I330" s="8" t="n"/>
      <c r="J330" s="8" t="n"/>
      <c r="K330" s="14">
        <f>IF($F330="","",IF($I330="예",ROUND($F330*기본설정!$C$14,0),0))</f>
        <v/>
      </c>
      <c r="L330" s="8" t="n"/>
    </row>
    <row r="331">
      <c r="B331" s="13" t="n"/>
      <c r="C331" s="8" t="n"/>
      <c r="D331" s="8" t="n"/>
      <c r="E331" s="8" t="n"/>
      <c r="F331" s="11" t="n"/>
      <c r="G331" s="14">
        <f>IF($F331="","",IF(기본설정!$C$9="일반과세자",ROUND($F331*기본설정!$C$15,0),0))</f>
        <v/>
      </c>
      <c r="H331" s="15">
        <f>IF($F331="","",$F331+$G331)</f>
        <v/>
      </c>
      <c r="I331" s="8" t="n"/>
      <c r="J331" s="8" t="n"/>
      <c r="K331" s="14">
        <f>IF($F331="","",IF($I331="예",ROUND($F331*기본설정!$C$14,0),0))</f>
        <v/>
      </c>
      <c r="L331" s="8" t="n"/>
    </row>
    <row r="332">
      <c r="B332" s="13" t="n"/>
      <c r="C332" s="8" t="n"/>
      <c r="D332" s="8" t="n"/>
      <c r="E332" s="8" t="n"/>
      <c r="F332" s="11" t="n"/>
      <c r="G332" s="14">
        <f>IF($F332="","",IF(기본설정!$C$9="일반과세자",ROUND($F332*기본설정!$C$15,0),0))</f>
        <v/>
      </c>
      <c r="H332" s="15">
        <f>IF($F332="","",$F332+$G332)</f>
        <v/>
      </c>
      <c r="I332" s="8" t="n"/>
      <c r="J332" s="8" t="n"/>
      <c r="K332" s="14">
        <f>IF($F332="","",IF($I332="예",ROUND($F332*기본설정!$C$14,0),0))</f>
        <v/>
      </c>
      <c r="L332" s="8" t="n"/>
    </row>
    <row r="333">
      <c r="B333" s="13" t="n"/>
      <c r="C333" s="8" t="n"/>
      <c r="D333" s="8" t="n"/>
      <c r="E333" s="8" t="n"/>
      <c r="F333" s="11" t="n"/>
      <c r="G333" s="14">
        <f>IF($F333="","",IF(기본설정!$C$9="일반과세자",ROUND($F333*기본설정!$C$15,0),0))</f>
        <v/>
      </c>
      <c r="H333" s="15">
        <f>IF($F333="","",$F333+$G333)</f>
        <v/>
      </c>
      <c r="I333" s="8" t="n"/>
      <c r="J333" s="8" t="n"/>
      <c r="K333" s="14">
        <f>IF($F333="","",IF($I333="예",ROUND($F333*기본설정!$C$14,0),0))</f>
        <v/>
      </c>
      <c r="L333" s="8" t="n"/>
    </row>
    <row r="334">
      <c r="B334" s="13" t="n"/>
      <c r="C334" s="8" t="n"/>
      <c r="D334" s="8" t="n"/>
      <c r="E334" s="8" t="n"/>
      <c r="F334" s="11" t="n"/>
      <c r="G334" s="14">
        <f>IF($F334="","",IF(기본설정!$C$9="일반과세자",ROUND($F334*기본설정!$C$15,0),0))</f>
        <v/>
      </c>
      <c r="H334" s="15">
        <f>IF($F334="","",$F334+$G334)</f>
        <v/>
      </c>
      <c r="I334" s="8" t="n"/>
      <c r="J334" s="8" t="n"/>
      <c r="K334" s="14">
        <f>IF($F334="","",IF($I334="예",ROUND($F334*기본설정!$C$14,0),0))</f>
        <v/>
      </c>
      <c r="L334" s="8" t="n"/>
    </row>
    <row r="335">
      <c r="B335" s="13" t="n"/>
      <c r="C335" s="8" t="n"/>
      <c r="D335" s="8" t="n"/>
      <c r="E335" s="8" t="n"/>
      <c r="F335" s="11" t="n"/>
      <c r="G335" s="14">
        <f>IF($F335="","",IF(기본설정!$C$9="일반과세자",ROUND($F335*기본설정!$C$15,0),0))</f>
        <v/>
      </c>
      <c r="H335" s="15">
        <f>IF($F335="","",$F335+$G335)</f>
        <v/>
      </c>
      <c r="I335" s="8" t="n"/>
      <c r="J335" s="8" t="n"/>
      <c r="K335" s="14">
        <f>IF($F335="","",IF($I335="예",ROUND($F335*기본설정!$C$14,0),0))</f>
        <v/>
      </c>
      <c r="L335" s="8" t="n"/>
    </row>
    <row r="336">
      <c r="B336" s="13" t="n"/>
      <c r="C336" s="8" t="n"/>
      <c r="D336" s="8" t="n"/>
      <c r="E336" s="8" t="n"/>
      <c r="F336" s="11" t="n"/>
      <c r="G336" s="14">
        <f>IF($F336="","",IF(기본설정!$C$9="일반과세자",ROUND($F336*기본설정!$C$15,0),0))</f>
        <v/>
      </c>
      <c r="H336" s="15">
        <f>IF($F336="","",$F336+$G336)</f>
        <v/>
      </c>
      <c r="I336" s="8" t="n"/>
      <c r="J336" s="8" t="n"/>
      <c r="K336" s="14">
        <f>IF($F336="","",IF($I336="예",ROUND($F336*기본설정!$C$14,0),0))</f>
        <v/>
      </c>
      <c r="L336" s="8" t="n"/>
    </row>
    <row r="337">
      <c r="B337" s="13" t="n"/>
      <c r="C337" s="8" t="n"/>
      <c r="D337" s="8" t="n"/>
      <c r="E337" s="8" t="n"/>
      <c r="F337" s="11" t="n"/>
      <c r="G337" s="14">
        <f>IF($F337="","",IF(기본설정!$C$9="일반과세자",ROUND($F337*기본설정!$C$15,0),0))</f>
        <v/>
      </c>
      <c r="H337" s="15">
        <f>IF($F337="","",$F337+$G337)</f>
        <v/>
      </c>
      <c r="I337" s="8" t="n"/>
      <c r="J337" s="8" t="n"/>
      <c r="K337" s="14">
        <f>IF($F337="","",IF($I337="예",ROUND($F337*기본설정!$C$14,0),0))</f>
        <v/>
      </c>
      <c r="L337" s="8" t="n"/>
    </row>
    <row r="338">
      <c r="B338" s="13" t="n"/>
      <c r="C338" s="8" t="n"/>
      <c r="D338" s="8" t="n"/>
      <c r="E338" s="8" t="n"/>
      <c r="F338" s="11" t="n"/>
      <c r="G338" s="14">
        <f>IF($F338="","",IF(기본설정!$C$9="일반과세자",ROUND($F338*기본설정!$C$15,0),0))</f>
        <v/>
      </c>
      <c r="H338" s="15">
        <f>IF($F338="","",$F338+$G338)</f>
        <v/>
      </c>
      <c r="I338" s="8" t="n"/>
      <c r="J338" s="8" t="n"/>
      <c r="K338" s="14">
        <f>IF($F338="","",IF($I338="예",ROUND($F338*기본설정!$C$14,0),0))</f>
        <v/>
      </c>
      <c r="L338" s="8" t="n"/>
    </row>
    <row r="339">
      <c r="B339" s="13" t="n"/>
      <c r="C339" s="8" t="n"/>
      <c r="D339" s="8" t="n"/>
      <c r="E339" s="8" t="n"/>
      <c r="F339" s="11" t="n"/>
      <c r="G339" s="14">
        <f>IF($F339="","",IF(기본설정!$C$9="일반과세자",ROUND($F339*기본설정!$C$15,0),0))</f>
        <v/>
      </c>
      <c r="H339" s="15">
        <f>IF($F339="","",$F339+$G339)</f>
        <v/>
      </c>
      <c r="I339" s="8" t="n"/>
      <c r="J339" s="8" t="n"/>
      <c r="K339" s="14">
        <f>IF($F339="","",IF($I339="예",ROUND($F339*기본설정!$C$14,0),0))</f>
        <v/>
      </c>
      <c r="L339" s="8" t="n"/>
    </row>
    <row r="340">
      <c r="B340" s="13" t="n"/>
      <c r="C340" s="8" t="n"/>
      <c r="D340" s="8" t="n"/>
      <c r="E340" s="8" t="n"/>
      <c r="F340" s="11" t="n"/>
      <c r="G340" s="14">
        <f>IF($F340="","",IF(기본설정!$C$9="일반과세자",ROUND($F340*기본설정!$C$15,0),0))</f>
        <v/>
      </c>
      <c r="H340" s="15">
        <f>IF($F340="","",$F340+$G340)</f>
        <v/>
      </c>
      <c r="I340" s="8" t="n"/>
      <c r="J340" s="8" t="n"/>
      <c r="K340" s="14">
        <f>IF($F340="","",IF($I340="예",ROUND($F340*기본설정!$C$14,0),0))</f>
        <v/>
      </c>
      <c r="L340" s="8" t="n"/>
    </row>
    <row r="341">
      <c r="B341" s="13" t="n"/>
      <c r="C341" s="8" t="n"/>
      <c r="D341" s="8" t="n"/>
      <c r="E341" s="8" t="n"/>
      <c r="F341" s="11" t="n"/>
      <c r="G341" s="14">
        <f>IF($F341="","",IF(기본설정!$C$9="일반과세자",ROUND($F341*기본설정!$C$15,0),0))</f>
        <v/>
      </c>
      <c r="H341" s="15">
        <f>IF($F341="","",$F341+$G341)</f>
        <v/>
      </c>
      <c r="I341" s="8" t="n"/>
      <c r="J341" s="8" t="n"/>
      <c r="K341" s="14">
        <f>IF($F341="","",IF($I341="예",ROUND($F341*기본설정!$C$14,0),0))</f>
        <v/>
      </c>
      <c r="L341" s="8" t="n"/>
    </row>
    <row r="342">
      <c r="B342" s="13" t="n"/>
      <c r="C342" s="8" t="n"/>
      <c r="D342" s="8" t="n"/>
      <c r="E342" s="8" t="n"/>
      <c r="F342" s="11" t="n"/>
      <c r="G342" s="14">
        <f>IF($F342="","",IF(기본설정!$C$9="일반과세자",ROUND($F342*기본설정!$C$15,0),0))</f>
        <v/>
      </c>
      <c r="H342" s="15">
        <f>IF($F342="","",$F342+$G342)</f>
        <v/>
      </c>
      <c r="I342" s="8" t="n"/>
      <c r="J342" s="8" t="n"/>
      <c r="K342" s="14">
        <f>IF($F342="","",IF($I342="예",ROUND($F342*기본설정!$C$14,0),0))</f>
        <v/>
      </c>
      <c r="L342" s="8" t="n"/>
    </row>
    <row r="343">
      <c r="B343" s="13" t="n"/>
      <c r="C343" s="8" t="n"/>
      <c r="D343" s="8" t="n"/>
      <c r="E343" s="8" t="n"/>
      <c r="F343" s="11" t="n"/>
      <c r="G343" s="14">
        <f>IF($F343="","",IF(기본설정!$C$9="일반과세자",ROUND($F343*기본설정!$C$15,0),0))</f>
        <v/>
      </c>
      <c r="H343" s="15">
        <f>IF($F343="","",$F343+$G343)</f>
        <v/>
      </c>
      <c r="I343" s="8" t="n"/>
      <c r="J343" s="8" t="n"/>
      <c r="K343" s="14">
        <f>IF($F343="","",IF($I343="예",ROUND($F343*기본설정!$C$14,0),0))</f>
        <v/>
      </c>
      <c r="L343" s="8" t="n"/>
    </row>
    <row r="344">
      <c r="B344" s="13" t="n"/>
      <c r="C344" s="8" t="n"/>
      <c r="D344" s="8" t="n"/>
      <c r="E344" s="8" t="n"/>
      <c r="F344" s="11" t="n"/>
      <c r="G344" s="14">
        <f>IF($F344="","",IF(기본설정!$C$9="일반과세자",ROUND($F344*기본설정!$C$15,0),0))</f>
        <v/>
      </c>
      <c r="H344" s="15">
        <f>IF($F344="","",$F344+$G344)</f>
        <v/>
      </c>
      <c r="I344" s="8" t="n"/>
      <c r="J344" s="8" t="n"/>
      <c r="K344" s="14">
        <f>IF($F344="","",IF($I344="예",ROUND($F344*기본설정!$C$14,0),0))</f>
        <v/>
      </c>
      <c r="L344" s="8" t="n"/>
    </row>
    <row r="345">
      <c r="B345" s="13" t="n"/>
      <c r="C345" s="8" t="n"/>
      <c r="D345" s="8" t="n"/>
      <c r="E345" s="8" t="n"/>
      <c r="F345" s="11" t="n"/>
      <c r="G345" s="14">
        <f>IF($F345="","",IF(기본설정!$C$9="일반과세자",ROUND($F345*기본설정!$C$15,0),0))</f>
        <v/>
      </c>
      <c r="H345" s="15">
        <f>IF($F345="","",$F345+$G345)</f>
        <v/>
      </c>
      <c r="I345" s="8" t="n"/>
      <c r="J345" s="8" t="n"/>
      <c r="K345" s="14">
        <f>IF($F345="","",IF($I345="예",ROUND($F345*기본설정!$C$14,0),0))</f>
        <v/>
      </c>
      <c r="L345" s="8" t="n"/>
    </row>
    <row r="346">
      <c r="B346" s="13" t="n"/>
      <c r="C346" s="8" t="n"/>
      <c r="D346" s="8" t="n"/>
      <c r="E346" s="8" t="n"/>
      <c r="F346" s="11" t="n"/>
      <c r="G346" s="14">
        <f>IF($F346="","",IF(기본설정!$C$9="일반과세자",ROUND($F346*기본설정!$C$15,0),0))</f>
        <v/>
      </c>
      <c r="H346" s="15">
        <f>IF($F346="","",$F346+$G346)</f>
        <v/>
      </c>
      <c r="I346" s="8" t="n"/>
      <c r="J346" s="8" t="n"/>
      <c r="K346" s="14">
        <f>IF($F346="","",IF($I346="예",ROUND($F346*기본설정!$C$14,0),0))</f>
        <v/>
      </c>
      <c r="L346" s="8" t="n"/>
    </row>
    <row r="347">
      <c r="B347" s="13" t="n"/>
      <c r="C347" s="8" t="n"/>
      <c r="D347" s="8" t="n"/>
      <c r="E347" s="8" t="n"/>
      <c r="F347" s="11" t="n"/>
      <c r="G347" s="14">
        <f>IF($F347="","",IF(기본설정!$C$9="일반과세자",ROUND($F347*기본설정!$C$15,0),0))</f>
        <v/>
      </c>
      <c r="H347" s="15">
        <f>IF($F347="","",$F347+$G347)</f>
        <v/>
      </c>
      <c r="I347" s="8" t="n"/>
      <c r="J347" s="8" t="n"/>
      <c r="K347" s="14">
        <f>IF($F347="","",IF($I347="예",ROUND($F347*기본설정!$C$14,0),0))</f>
        <v/>
      </c>
      <c r="L347" s="8" t="n"/>
    </row>
    <row r="348">
      <c r="B348" s="13" t="n"/>
      <c r="C348" s="8" t="n"/>
      <c r="D348" s="8" t="n"/>
      <c r="E348" s="8" t="n"/>
      <c r="F348" s="11" t="n"/>
      <c r="G348" s="14">
        <f>IF($F348="","",IF(기본설정!$C$9="일반과세자",ROUND($F348*기본설정!$C$15,0),0))</f>
        <v/>
      </c>
      <c r="H348" s="15">
        <f>IF($F348="","",$F348+$G348)</f>
        <v/>
      </c>
      <c r="I348" s="8" t="n"/>
      <c r="J348" s="8" t="n"/>
      <c r="K348" s="14">
        <f>IF($F348="","",IF($I348="예",ROUND($F348*기본설정!$C$14,0),0))</f>
        <v/>
      </c>
      <c r="L348" s="8" t="n"/>
    </row>
    <row r="349">
      <c r="B349" s="13" t="n"/>
      <c r="C349" s="8" t="n"/>
      <c r="D349" s="8" t="n"/>
      <c r="E349" s="8" t="n"/>
      <c r="F349" s="11" t="n"/>
      <c r="G349" s="14">
        <f>IF($F349="","",IF(기본설정!$C$9="일반과세자",ROUND($F349*기본설정!$C$15,0),0))</f>
        <v/>
      </c>
      <c r="H349" s="15">
        <f>IF($F349="","",$F349+$G349)</f>
        <v/>
      </c>
      <c r="I349" s="8" t="n"/>
      <c r="J349" s="8" t="n"/>
      <c r="K349" s="14">
        <f>IF($F349="","",IF($I349="예",ROUND($F349*기본설정!$C$14,0),0))</f>
        <v/>
      </c>
      <c r="L349" s="8" t="n"/>
    </row>
    <row r="350">
      <c r="B350" s="13" t="n"/>
      <c r="C350" s="8" t="n"/>
      <c r="D350" s="8" t="n"/>
      <c r="E350" s="8" t="n"/>
      <c r="F350" s="11" t="n"/>
      <c r="G350" s="14">
        <f>IF($F350="","",IF(기본설정!$C$9="일반과세자",ROUND($F350*기본설정!$C$15,0),0))</f>
        <v/>
      </c>
      <c r="H350" s="15">
        <f>IF($F350="","",$F350+$G350)</f>
        <v/>
      </c>
      <c r="I350" s="8" t="n"/>
      <c r="J350" s="8" t="n"/>
      <c r="K350" s="14">
        <f>IF($F350="","",IF($I350="예",ROUND($F350*기본설정!$C$14,0),0))</f>
        <v/>
      </c>
      <c r="L350" s="8" t="n"/>
    </row>
    <row r="351">
      <c r="B351" s="13" t="n"/>
      <c r="C351" s="8" t="n"/>
      <c r="D351" s="8" t="n"/>
      <c r="E351" s="8" t="n"/>
      <c r="F351" s="11" t="n"/>
      <c r="G351" s="14">
        <f>IF($F351="","",IF(기본설정!$C$9="일반과세자",ROUND($F351*기본설정!$C$15,0),0))</f>
        <v/>
      </c>
      <c r="H351" s="15">
        <f>IF($F351="","",$F351+$G351)</f>
        <v/>
      </c>
      <c r="I351" s="8" t="n"/>
      <c r="J351" s="8" t="n"/>
      <c r="K351" s="14">
        <f>IF($F351="","",IF($I351="예",ROUND($F351*기본설정!$C$14,0),0))</f>
        <v/>
      </c>
      <c r="L351" s="8" t="n"/>
    </row>
    <row r="352">
      <c r="B352" s="13" t="n"/>
      <c r="C352" s="8" t="n"/>
      <c r="D352" s="8" t="n"/>
      <c r="E352" s="8" t="n"/>
      <c r="F352" s="11" t="n"/>
      <c r="G352" s="14">
        <f>IF($F352="","",IF(기본설정!$C$9="일반과세자",ROUND($F352*기본설정!$C$15,0),0))</f>
        <v/>
      </c>
      <c r="H352" s="15">
        <f>IF($F352="","",$F352+$G352)</f>
        <v/>
      </c>
      <c r="I352" s="8" t="n"/>
      <c r="J352" s="8" t="n"/>
      <c r="K352" s="14">
        <f>IF($F352="","",IF($I352="예",ROUND($F352*기본설정!$C$14,0),0))</f>
        <v/>
      </c>
      <c r="L352" s="8" t="n"/>
    </row>
    <row r="353">
      <c r="B353" s="13" t="n"/>
      <c r="C353" s="8" t="n"/>
      <c r="D353" s="8" t="n"/>
      <c r="E353" s="8" t="n"/>
      <c r="F353" s="11" t="n"/>
      <c r="G353" s="14">
        <f>IF($F353="","",IF(기본설정!$C$9="일반과세자",ROUND($F353*기본설정!$C$15,0),0))</f>
        <v/>
      </c>
      <c r="H353" s="15">
        <f>IF($F353="","",$F353+$G353)</f>
        <v/>
      </c>
      <c r="I353" s="8" t="n"/>
      <c r="J353" s="8" t="n"/>
      <c r="K353" s="14">
        <f>IF($F353="","",IF($I353="예",ROUND($F353*기본설정!$C$14,0),0))</f>
        <v/>
      </c>
      <c r="L353" s="8" t="n"/>
    </row>
    <row r="354">
      <c r="B354" s="13" t="n"/>
      <c r="C354" s="8" t="n"/>
      <c r="D354" s="8" t="n"/>
      <c r="E354" s="8" t="n"/>
      <c r="F354" s="11" t="n"/>
      <c r="G354" s="14">
        <f>IF($F354="","",IF(기본설정!$C$9="일반과세자",ROUND($F354*기본설정!$C$15,0),0))</f>
        <v/>
      </c>
      <c r="H354" s="15">
        <f>IF($F354="","",$F354+$G354)</f>
        <v/>
      </c>
      <c r="I354" s="8" t="n"/>
      <c r="J354" s="8" t="n"/>
      <c r="K354" s="14">
        <f>IF($F354="","",IF($I354="예",ROUND($F354*기본설정!$C$14,0),0))</f>
        <v/>
      </c>
      <c r="L354" s="8" t="n"/>
    </row>
    <row r="355">
      <c r="B355" s="13" t="n"/>
      <c r="C355" s="8" t="n"/>
      <c r="D355" s="8" t="n"/>
      <c r="E355" s="8" t="n"/>
      <c r="F355" s="11" t="n"/>
      <c r="G355" s="14">
        <f>IF($F355="","",IF(기본설정!$C$9="일반과세자",ROUND($F355*기본설정!$C$15,0),0))</f>
        <v/>
      </c>
      <c r="H355" s="15">
        <f>IF($F355="","",$F355+$G355)</f>
        <v/>
      </c>
      <c r="I355" s="8" t="n"/>
      <c r="J355" s="8" t="n"/>
      <c r="K355" s="14">
        <f>IF($F355="","",IF($I355="예",ROUND($F355*기본설정!$C$14,0),0))</f>
        <v/>
      </c>
      <c r="L355" s="8" t="n"/>
    </row>
    <row r="356">
      <c r="B356" s="13" t="n"/>
      <c r="C356" s="8" t="n"/>
      <c r="D356" s="8" t="n"/>
      <c r="E356" s="8" t="n"/>
      <c r="F356" s="11" t="n"/>
      <c r="G356" s="14">
        <f>IF($F356="","",IF(기본설정!$C$9="일반과세자",ROUND($F356*기본설정!$C$15,0),0))</f>
        <v/>
      </c>
      <c r="H356" s="15">
        <f>IF($F356="","",$F356+$G356)</f>
        <v/>
      </c>
      <c r="I356" s="8" t="n"/>
      <c r="J356" s="8" t="n"/>
      <c r="K356" s="14">
        <f>IF($F356="","",IF($I356="예",ROUND($F356*기본설정!$C$14,0),0))</f>
        <v/>
      </c>
      <c r="L356" s="8" t="n"/>
    </row>
    <row r="357">
      <c r="B357" s="13" t="n"/>
      <c r="C357" s="8" t="n"/>
      <c r="D357" s="8" t="n"/>
      <c r="E357" s="8" t="n"/>
      <c r="F357" s="11" t="n"/>
      <c r="G357" s="14">
        <f>IF($F357="","",IF(기본설정!$C$9="일반과세자",ROUND($F357*기본설정!$C$15,0),0))</f>
        <v/>
      </c>
      <c r="H357" s="15">
        <f>IF($F357="","",$F357+$G357)</f>
        <v/>
      </c>
      <c r="I357" s="8" t="n"/>
      <c r="J357" s="8" t="n"/>
      <c r="K357" s="14">
        <f>IF($F357="","",IF($I357="예",ROUND($F357*기본설정!$C$14,0),0))</f>
        <v/>
      </c>
      <c r="L357" s="8" t="n"/>
    </row>
    <row r="358">
      <c r="B358" s="13" t="n"/>
      <c r="C358" s="8" t="n"/>
      <c r="D358" s="8" t="n"/>
      <c r="E358" s="8" t="n"/>
      <c r="F358" s="11" t="n"/>
      <c r="G358" s="14">
        <f>IF($F358="","",IF(기본설정!$C$9="일반과세자",ROUND($F358*기본설정!$C$15,0),0))</f>
        <v/>
      </c>
      <c r="H358" s="15">
        <f>IF($F358="","",$F358+$G358)</f>
        <v/>
      </c>
      <c r="I358" s="8" t="n"/>
      <c r="J358" s="8" t="n"/>
      <c r="K358" s="14">
        <f>IF($F358="","",IF($I358="예",ROUND($F358*기본설정!$C$14,0),0))</f>
        <v/>
      </c>
      <c r="L358" s="8" t="n"/>
    </row>
    <row r="359">
      <c r="B359" s="13" t="n"/>
      <c r="C359" s="8" t="n"/>
      <c r="D359" s="8" t="n"/>
      <c r="E359" s="8" t="n"/>
      <c r="F359" s="11" t="n"/>
      <c r="G359" s="14">
        <f>IF($F359="","",IF(기본설정!$C$9="일반과세자",ROUND($F359*기본설정!$C$15,0),0))</f>
        <v/>
      </c>
      <c r="H359" s="15">
        <f>IF($F359="","",$F359+$G359)</f>
        <v/>
      </c>
      <c r="I359" s="8" t="n"/>
      <c r="J359" s="8" t="n"/>
      <c r="K359" s="14">
        <f>IF($F359="","",IF($I359="예",ROUND($F359*기본설정!$C$14,0),0))</f>
        <v/>
      </c>
      <c r="L359" s="8" t="n"/>
    </row>
    <row r="360">
      <c r="B360" s="13" t="n"/>
      <c r="C360" s="8" t="n"/>
      <c r="D360" s="8" t="n"/>
      <c r="E360" s="8" t="n"/>
      <c r="F360" s="11" t="n"/>
      <c r="G360" s="14">
        <f>IF($F360="","",IF(기본설정!$C$9="일반과세자",ROUND($F360*기본설정!$C$15,0),0))</f>
        <v/>
      </c>
      <c r="H360" s="15">
        <f>IF($F360="","",$F360+$G360)</f>
        <v/>
      </c>
      <c r="I360" s="8" t="n"/>
      <c r="J360" s="8" t="n"/>
      <c r="K360" s="14">
        <f>IF($F360="","",IF($I360="예",ROUND($F360*기본설정!$C$14,0),0))</f>
        <v/>
      </c>
      <c r="L360" s="8" t="n"/>
    </row>
    <row r="361">
      <c r="B361" s="13" t="n"/>
      <c r="C361" s="8" t="n"/>
      <c r="D361" s="8" t="n"/>
      <c r="E361" s="8" t="n"/>
      <c r="F361" s="11" t="n"/>
      <c r="G361" s="14">
        <f>IF($F361="","",IF(기본설정!$C$9="일반과세자",ROUND($F361*기본설정!$C$15,0),0))</f>
        <v/>
      </c>
      <c r="H361" s="15">
        <f>IF($F361="","",$F361+$G361)</f>
        <v/>
      </c>
      <c r="I361" s="8" t="n"/>
      <c r="J361" s="8" t="n"/>
      <c r="K361" s="14">
        <f>IF($F361="","",IF($I361="예",ROUND($F361*기본설정!$C$14,0),0))</f>
        <v/>
      </c>
      <c r="L361" s="8" t="n"/>
    </row>
    <row r="362">
      <c r="B362" s="13" t="n"/>
      <c r="C362" s="8" t="n"/>
      <c r="D362" s="8" t="n"/>
      <c r="E362" s="8" t="n"/>
      <c r="F362" s="11" t="n"/>
      <c r="G362" s="14">
        <f>IF($F362="","",IF(기본설정!$C$9="일반과세자",ROUND($F362*기본설정!$C$15,0),0))</f>
        <v/>
      </c>
      <c r="H362" s="15">
        <f>IF($F362="","",$F362+$G362)</f>
        <v/>
      </c>
      <c r="I362" s="8" t="n"/>
      <c r="J362" s="8" t="n"/>
      <c r="K362" s="14">
        <f>IF($F362="","",IF($I362="예",ROUND($F362*기본설정!$C$14,0),0))</f>
        <v/>
      </c>
      <c r="L362" s="8" t="n"/>
    </row>
    <row r="363">
      <c r="B363" s="13" t="n"/>
      <c r="C363" s="8" t="n"/>
      <c r="D363" s="8" t="n"/>
      <c r="E363" s="8" t="n"/>
      <c r="F363" s="11" t="n"/>
      <c r="G363" s="14">
        <f>IF($F363="","",IF(기본설정!$C$9="일반과세자",ROUND($F363*기본설정!$C$15,0),0))</f>
        <v/>
      </c>
      <c r="H363" s="15">
        <f>IF($F363="","",$F363+$G363)</f>
        <v/>
      </c>
      <c r="I363" s="8" t="n"/>
      <c r="J363" s="8" t="n"/>
      <c r="K363" s="14">
        <f>IF($F363="","",IF($I363="예",ROUND($F363*기본설정!$C$14,0),0))</f>
        <v/>
      </c>
      <c r="L363" s="8" t="n"/>
    </row>
    <row r="364">
      <c r="B364" s="13" t="n"/>
      <c r="C364" s="8" t="n"/>
      <c r="D364" s="8" t="n"/>
      <c r="E364" s="8" t="n"/>
      <c r="F364" s="11" t="n"/>
      <c r="G364" s="14">
        <f>IF($F364="","",IF(기본설정!$C$9="일반과세자",ROUND($F364*기본설정!$C$15,0),0))</f>
        <v/>
      </c>
      <c r="H364" s="15">
        <f>IF($F364="","",$F364+$G364)</f>
        <v/>
      </c>
      <c r="I364" s="8" t="n"/>
      <c r="J364" s="8" t="n"/>
      <c r="K364" s="14">
        <f>IF($F364="","",IF($I364="예",ROUND($F364*기본설정!$C$14,0),0))</f>
        <v/>
      </c>
      <c r="L364" s="8" t="n"/>
    </row>
    <row r="365">
      <c r="B365" s="13" t="n"/>
      <c r="C365" s="8" t="n"/>
      <c r="D365" s="8" t="n"/>
      <c r="E365" s="8" t="n"/>
      <c r="F365" s="11" t="n"/>
      <c r="G365" s="14">
        <f>IF($F365="","",IF(기본설정!$C$9="일반과세자",ROUND($F365*기본설정!$C$15,0),0))</f>
        <v/>
      </c>
      <c r="H365" s="15">
        <f>IF($F365="","",$F365+$G365)</f>
        <v/>
      </c>
      <c r="I365" s="8" t="n"/>
      <c r="J365" s="8" t="n"/>
      <c r="K365" s="14">
        <f>IF($F365="","",IF($I365="예",ROUND($F365*기본설정!$C$14,0),0))</f>
        <v/>
      </c>
      <c r="L365" s="8" t="n"/>
    </row>
    <row r="366">
      <c r="B366" s="13" t="n"/>
      <c r="C366" s="8" t="n"/>
      <c r="D366" s="8" t="n"/>
      <c r="E366" s="8" t="n"/>
      <c r="F366" s="11" t="n"/>
      <c r="G366" s="14">
        <f>IF($F366="","",IF(기본설정!$C$9="일반과세자",ROUND($F366*기본설정!$C$15,0),0))</f>
        <v/>
      </c>
      <c r="H366" s="15">
        <f>IF($F366="","",$F366+$G366)</f>
        <v/>
      </c>
      <c r="I366" s="8" t="n"/>
      <c r="J366" s="8" t="n"/>
      <c r="K366" s="14">
        <f>IF($F366="","",IF($I366="예",ROUND($F366*기본설정!$C$14,0),0))</f>
        <v/>
      </c>
      <c r="L366" s="8" t="n"/>
    </row>
    <row r="367">
      <c r="B367" s="13" t="n"/>
      <c r="C367" s="8" t="n"/>
      <c r="D367" s="8" t="n"/>
      <c r="E367" s="8" t="n"/>
      <c r="F367" s="11" t="n"/>
      <c r="G367" s="14">
        <f>IF($F367="","",IF(기본설정!$C$9="일반과세자",ROUND($F367*기본설정!$C$15,0),0))</f>
        <v/>
      </c>
      <c r="H367" s="15">
        <f>IF($F367="","",$F367+$G367)</f>
        <v/>
      </c>
      <c r="I367" s="8" t="n"/>
      <c r="J367" s="8" t="n"/>
      <c r="K367" s="14">
        <f>IF($F367="","",IF($I367="예",ROUND($F367*기본설정!$C$14,0),0))</f>
        <v/>
      </c>
      <c r="L367" s="8" t="n"/>
    </row>
    <row r="368">
      <c r="B368" s="13" t="n"/>
      <c r="C368" s="8" t="n"/>
      <c r="D368" s="8" t="n"/>
      <c r="E368" s="8" t="n"/>
      <c r="F368" s="11" t="n"/>
      <c r="G368" s="14">
        <f>IF($F368="","",IF(기본설정!$C$9="일반과세자",ROUND($F368*기본설정!$C$15,0),0))</f>
        <v/>
      </c>
      <c r="H368" s="15">
        <f>IF($F368="","",$F368+$G368)</f>
        <v/>
      </c>
      <c r="I368" s="8" t="n"/>
      <c r="J368" s="8" t="n"/>
      <c r="K368" s="14">
        <f>IF($F368="","",IF($I368="예",ROUND($F368*기본설정!$C$14,0),0))</f>
        <v/>
      </c>
      <c r="L368" s="8" t="n"/>
    </row>
    <row r="369">
      <c r="B369" s="13" t="n"/>
      <c r="C369" s="8" t="n"/>
      <c r="D369" s="8" t="n"/>
      <c r="E369" s="8" t="n"/>
      <c r="F369" s="11" t="n"/>
      <c r="G369" s="14">
        <f>IF($F369="","",IF(기본설정!$C$9="일반과세자",ROUND($F369*기본설정!$C$15,0),0))</f>
        <v/>
      </c>
      <c r="H369" s="15">
        <f>IF($F369="","",$F369+$G369)</f>
        <v/>
      </c>
      <c r="I369" s="8" t="n"/>
      <c r="J369" s="8" t="n"/>
      <c r="K369" s="14">
        <f>IF($F369="","",IF($I369="예",ROUND($F369*기본설정!$C$14,0),0))</f>
        <v/>
      </c>
      <c r="L369" s="8" t="n"/>
    </row>
    <row r="370">
      <c r="B370" s="13" t="n"/>
      <c r="C370" s="8" t="n"/>
      <c r="D370" s="8" t="n"/>
      <c r="E370" s="8" t="n"/>
      <c r="F370" s="11" t="n"/>
      <c r="G370" s="14">
        <f>IF($F370="","",IF(기본설정!$C$9="일반과세자",ROUND($F370*기본설정!$C$15,0),0))</f>
        <v/>
      </c>
      <c r="H370" s="15">
        <f>IF($F370="","",$F370+$G370)</f>
        <v/>
      </c>
      <c r="I370" s="8" t="n"/>
      <c r="J370" s="8" t="n"/>
      <c r="K370" s="14">
        <f>IF($F370="","",IF($I370="예",ROUND($F370*기본설정!$C$14,0),0))</f>
        <v/>
      </c>
      <c r="L370" s="8" t="n"/>
    </row>
    <row r="371">
      <c r="B371" s="13" t="n"/>
      <c r="C371" s="8" t="n"/>
      <c r="D371" s="8" t="n"/>
      <c r="E371" s="8" t="n"/>
      <c r="F371" s="11" t="n"/>
      <c r="G371" s="14">
        <f>IF($F371="","",IF(기본설정!$C$9="일반과세자",ROUND($F371*기본설정!$C$15,0),0))</f>
        <v/>
      </c>
      <c r="H371" s="15">
        <f>IF($F371="","",$F371+$G371)</f>
        <v/>
      </c>
      <c r="I371" s="8" t="n"/>
      <c r="J371" s="8" t="n"/>
      <c r="K371" s="14">
        <f>IF($F371="","",IF($I371="예",ROUND($F371*기본설정!$C$14,0),0))</f>
        <v/>
      </c>
      <c r="L371" s="8" t="n"/>
    </row>
    <row r="372">
      <c r="B372" s="13" t="n"/>
      <c r="C372" s="8" t="n"/>
      <c r="D372" s="8" t="n"/>
      <c r="E372" s="8" t="n"/>
      <c r="F372" s="11" t="n"/>
      <c r="G372" s="14">
        <f>IF($F372="","",IF(기본설정!$C$9="일반과세자",ROUND($F372*기본설정!$C$15,0),0))</f>
        <v/>
      </c>
      <c r="H372" s="15">
        <f>IF($F372="","",$F372+$G372)</f>
        <v/>
      </c>
      <c r="I372" s="8" t="n"/>
      <c r="J372" s="8" t="n"/>
      <c r="K372" s="14">
        <f>IF($F372="","",IF($I372="예",ROUND($F372*기본설정!$C$14,0),0))</f>
        <v/>
      </c>
      <c r="L372" s="8" t="n"/>
    </row>
    <row r="373">
      <c r="B373" s="13" t="n"/>
      <c r="C373" s="8" t="n"/>
      <c r="D373" s="8" t="n"/>
      <c r="E373" s="8" t="n"/>
      <c r="F373" s="11" t="n"/>
      <c r="G373" s="14">
        <f>IF($F373="","",IF(기본설정!$C$9="일반과세자",ROUND($F373*기본설정!$C$15,0),0))</f>
        <v/>
      </c>
      <c r="H373" s="15">
        <f>IF($F373="","",$F373+$G373)</f>
        <v/>
      </c>
      <c r="I373" s="8" t="n"/>
      <c r="J373" s="8" t="n"/>
      <c r="K373" s="14">
        <f>IF($F373="","",IF($I373="예",ROUND($F373*기본설정!$C$14,0),0))</f>
        <v/>
      </c>
      <c r="L373" s="8" t="n"/>
    </row>
    <row r="374">
      <c r="B374" s="13" t="n"/>
      <c r="C374" s="8" t="n"/>
      <c r="D374" s="8" t="n"/>
      <c r="E374" s="8" t="n"/>
      <c r="F374" s="11" t="n"/>
      <c r="G374" s="14">
        <f>IF($F374="","",IF(기본설정!$C$9="일반과세자",ROUND($F374*기본설정!$C$15,0),0))</f>
        <v/>
      </c>
      <c r="H374" s="15">
        <f>IF($F374="","",$F374+$G374)</f>
        <v/>
      </c>
      <c r="I374" s="8" t="n"/>
      <c r="J374" s="8" t="n"/>
      <c r="K374" s="14">
        <f>IF($F374="","",IF($I374="예",ROUND($F374*기본설정!$C$14,0),0))</f>
        <v/>
      </c>
      <c r="L374" s="8" t="n"/>
    </row>
    <row r="375">
      <c r="B375" s="13" t="n"/>
      <c r="C375" s="8" t="n"/>
      <c r="D375" s="8" t="n"/>
      <c r="E375" s="8" t="n"/>
      <c r="F375" s="11" t="n"/>
      <c r="G375" s="14">
        <f>IF($F375="","",IF(기본설정!$C$9="일반과세자",ROUND($F375*기본설정!$C$15,0),0))</f>
        <v/>
      </c>
      <c r="H375" s="15">
        <f>IF($F375="","",$F375+$G375)</f>
        <v/>
      </c>
      <c r="I375" s="8" t="n"/>
      <c r="J375" s="8" t="n"/>
      <c r="K375" s="14">
        <f>IF($F375="","",IF($I375="예",ROUND($F375*기본설정!$C$14,0),0))</f>
        <v/>
      </c>
      <c r="L375" s="8" t="n"/>
    </row>
    <row r="376">
      <c r="B376" s="13" t="n"/>
      <c r="C376" s="8" t="n"/>
      <c r="D376" s="8" t="n"/>
      <c r="E376" s="8" t="n"/>
      <c r="F376" s="11" t="n"/>
      <c r="G376" s="14">
        <f>IF($F376="","",IF(기본설정!$C$9="일반과세자",ROUND($F376*기본설정!$C$15,0),0))</f>
        <v/>
      </c>
      <c r="H376" s="15">
        <f>IF($F376="","",$F376+$G376)</f>
        <v/>
      </c>
      <c r="I376" s="8" t="n"/>
      <c r="J376" s="8" t="n"/>
      <c r="K376" s="14">
        <f>IF($F376="","",IF($I376="예",ROUND($F376*기본설정!$C$14,0),0))</f>
        <v/>
      </c>
      <c r="L376" s="8" t="n"/>
    </row>
    <row r="377">
      <c r="B377" s="13" t="n"/>
      <c r="C377" s="8" t="n"/>
      <c r="D377" s="8" t="n"/>
      <c r="E377" s="8" t="n"/>
      <c r="F377" s="11" t="n"/>
      <c r="G377" s="14">
        <f>IF($F377="","",IF(기본설정!$C$9="일반과세자",ROUND($F377*기본설정!$C$15,0),0))</f>
        <v/>
      </c>
      <c r="H377" s="15">
        <f>IF($F377="","",$F377+$G377)</f>
        <v/>
      </c>
      <c r="I377" s="8" t="n"/>
      <c r="J377" s="8" t="n"/>
      <c r="K377" s="14">
        <f>IF($F377="","",IF($I377="예",ROUND($F377*기본설정!$C$14,0),0))</f>
        <v/>
      </c>
      <c r="L377" s="8" t="n"/>
    </row>
    <row r="378">
      <c r="B378" s="13" t="n"/>
      <c r="C378" s="8" t="n"/>
      <c r="D378" s="8" t="n"/>
      <c r="E378" s="8" t="n"/>
      <c r="F378" s="11" t="n"/>
      <c r="G378" s="14">
        <f>IF($F378="","",IF(기본설정!$C$9="일반과세자",ROUND($F378*기본설정!$C$15,0),0))</f>
        <v/>
      </c>
      <c r="H378" s="15">
        <f>IF($F378="","",$F378+$G378)</f>
        <v/>
      </c>
      <c r="I378" s="8" t="n"/>
      <c r="J378" s="8" t="n"/>
      <c r="K378" s="14">
        <f>IF($F378="","",IF($I378="예",ROUND($F378*기본설정!$C$14,0),0))</f>
        <v/>
      </c>
      <c r="L378" s="8" t="n"/>
    </row>
    <row r="379">
      <c r="B379" s="13" t="n"/>
      <c r="C379" s="8" t="n"/>
      <c r="D379" s="8" t="n"/>
      <c r="E379" s="8" t="n"/>
      <c r="F379" s="11" t="n"/>
      <c r="G379" s="14">
        <f>IF($F379="","",IF(기본설정!$C$9="일반과세자",ROUND($F379*기본설정!$C$15,0),0))</f>
        <v/>
      </c>
      <c r="H379" s="15">
        <f>IF($F379="","",$F379+$G379)</f>
        <v/>
      </c>
      <c r="I379" s="8" t="n"/>
      <c r="J379" s="8" t="n"/>
      <c r="K379" s="14">
        <f>IF($F379="","",IF($I379="예",ROUND($F379*기본설정!$C$14,0),0))</f>
        <v/>
      </c>
      <c r="L379" s="8" t="n"/>
    </row>
    <row r="380">
      <c r="B380" s="13" t="n"/>
      <c r="C380" s="8" t="n"/>
      <c r="D380" s="8" t="n"/>
      <c r="E380" s="8" t="n"/>
      <c r="F380" s="11" t="n"/>
      <c r="G380" s="14">
        <f>IF($F380="","",IF(기본설정!$C$9="일반과세자",ROUND($F380*기본설정!$C$15,0),0))</f>
        <v/>
      </c>
      <c r="H380" s="15">
        <f>IF($F380="","",$F380+$G380)</f>
        <v/>
      </c>
      <c r="I380" s="8" t="n"/>
      <c r="J380" s="8" t="n"/>
      <c r="K380" s="14">
        <f>IF($F380="","",IF($I380="예",ROUND($F380*기본설정!$C$14,0),0))</f>
        <v/>
      </c>
      <c r="L380" s="8" t="n"/>
    </row>
    <row r="381">
      <c r="B381" s="13" t="n"/>
      <c r="C381" s="8" t="n"/>
      <c r="D381" s="8" t="n"/>
      <c r="E381" s="8" t="n"/>
      <c r="F381" s="11" t="n"/>
      <c r="G381" s="14">
        <f>IF($F381="","",IF(기본설정!$C$9="일반과세자",ROUND($F381*기본설정!$C$15,0),0))</f>
        <v/>
      </c>
      <c r="H381" s="15">
        <f>IF($F381="","",$F381+$G381)</f>
        <v/>
      </c>
      <c r="I381" s="8" t="n"/>
      <c r="J381" s="8" t="n"/>
      <c r="K381" s="14">
        <f>IF($F381="","",IF($I381="예",ROUND($F381*기본설정!$C$14,0),0))</f>
        <v/>
      </c>
      <c r="L381" s="8" t="n"/>
    </row>
    <row r="382">
      <c r="B382" s="13" t="n"/>
      <c r="C382" s="8" t="n"/>
      <c r="D382" s="8" t="n"/>
      <c r="E382" s="8" t="n"/>
      <c r="F382" s="11" t="n"/>
      <c r="G382" s="14">
        <f>IF($F382="","",IF(기본설정!$C$9="일반과세자",ROUND($F382*기본설정!$C$15,0),0))</f>
        <v/>
      </c>
      <c r="H382" s="15">
        <f>IF($F382="","",$F382+$G382)</f>
        <v/>
      </c>
      <c r="I382" s="8" t="n"/>
      <c r="J382" s="8" t="n"/>
      <c r="K382" s="14">
        <f>IF($F382="","",IF($I382="예",ROUND($F382*기본설정!$C$14,0),0))</f>
        <v/>
      </c>
      <c r="L382" s="8" t="n"/>
    </row>
    <row r="383">
      <c r="B383" s="13" t="n"/>
      <c r="C383" s="8" t="n"/>
      <c r="D383" s="8" t="n"/>
      <c r="E383" s="8" t="n"/>
      <c r="F383" s="11" t="n"/>
      <c r="G383" s="14">
        <f>IF($F383="","",IF(기본설정!$C$9="일반과세자",ROUND($F383*기본설정!$C$15,0),0))</f>
        <v/>
      </c>
      <c r="H383" s="15">
        <f>IF($F383="","",$F383+$G383)</f>
        <v/>
      </c>
      <c r="I383" s="8" t="n"/>
      <c r="J383" s="8" t="n"/>
      <c r="K383" s="14">
        <f>IF($F383="","",IF($I383="예",ROUND($F383*기본설정!$C$14,0),0))</f>
        <v/>
      </c>
      <c r="L383" s="8" t="n"/>
    </row>
    <row r="384">
      <c r="B384" s="13" t="n"/>
      <c r="C384" s="8" t="n"/>
      <c r="D384" s="8" t="n"/>
      <c r="E384" s="8" t="n"/>
      <c r="F384" s="11" t="n"/>
      <c r="G384" s="14">
        <f>IF($F384="","",IF(기본설정!$C$9="일반과세자",ROUND($F384*기본설정!$C$15,0),0))</f>
        <v/>
      </c>
      <c r="H384" s="15">
        <f>IF($F384="","",$F384+$G384)</f>
        <v/>
      </c>
      <c r="I384" s="8" t="n"/>
      <c r="J384" s="8" t="n"/>
      <c r="K384" s="14">
        <f>IF($F384="","",IF($I384="예",ROUND($F384*기본설정!$C$14,0),0))</f>
        <v/>
      </c>
      <c r="L384" s="8" t="n"/>
    </row>
    <row r="385">
      <c r="B385" s="13" t="n"/>
      <c r="C385" s="8" t="n"/>
      <c r="D385" s="8" t="n"/>
      <c r="E385" s="8" t="n"/>
      <c r="F385" s="11" t="n"/>
      <c r="G385" s="14">
        <f>IF($F385="","",IF(기본설정!$C$9="일반과세자",ROUND($F385*기본설정!$C$15,0),0))</f>
        <v/>
      </c>
      <c r="H385" s="15">
        <f>IF($F385="","",$F385+$G385)</f>
        <v/>
      </c>
      <c r="I385" s="8" t="n"/>
      <c r="J385" s="8" t="n"/>
      <c r="K385" s="14">
        <f>IF($F385="","",IF($I385="예",ROUND($F385*기본설정!$C$14,0),0))</f>
        <v/>
      </c>
      <c r="L385" s="8" t="n"/>
    </row>
    <row r="386">
      <c r="B386" s="13" t="n"/>
      <c r="C386" s="8" t="n"/>
      <c r="D386" s="8" t="n"/>
      <c r="E386" s="8" t="n"/>
      <c r="F386" s="11" t="n"/>
      <c r="G386" s="14">
        <f>IF($F386="","",IF(기본설정!$C$9="일반과세자",ROUND($F386*기본설정!$C$15,0),0))</f>
        <v/>
      </c>
      <c r="H386" s="15">
        <f>IF($F386="","",$F386+$G386)</f>
        <v/>
      </c>
      <c r="I386" s="8" t="n"/>
      <c r="J386" s="8" t="n"/>
      <c r="K386" s="14">
        <f>IF($F386="","",IF($I386="예",ROUND($F386*기본설정!$C$14,0),0))</f>
        <v/>
      </c>
      <c r="L386" s="8" t="n"/>
    </row>
    <row r="387">
      <c r="B387" s="13" t="n"/>
      <c r="C387" s="8" t="n"/>
      <c r="D387" s="8" t="n"/>
      <c r="E387" s="8" t="n"/>
      <c r="F387" s="11" t="n"/>
      <c r="G387" s="14">
        <f>IF($F387="","",IF(기본설정!$C$9="일반과세자",ROUND($F387*기본설정!$C$15,0),0))</f>
        <v/>
      </c>
      <c r="H387" s="15">
        <f>IF($F387="","",$F387+$G387)</f>
        <v/>
      </c>
      <c r="I387" s="8" t="n"/>
      <c r="J387" s="8" t="n"/>
      <c r="K387" s="14">
        <f>IF($F387="","",IF($I387="예",ROUND($F387*기본설정!$C$14,0),0))</f>
        <v/>
      </c>
      <c r="L387" s="8" t="n"/>
    </row>
    <row r="388">
      <c r="B388" s="13" t="n"/>
      <c r="C388" s="8" t="n"/>
      <c r="D388" s="8" t="n"/>
      <c r="E388" s="8" t="n"/>
      <c r="F388" s="11" t="n"/>
      <c r="G388" s="14">
        <f>IF($F388="","",IF(기본설정!$C$9="일반과세자",ROUND($F388*기본설정!$C$15,0),0))</f>
        <v/>
      </c>
      <c r="H388" s="15">
        <f>IF($F388="","",$F388+$G388)</f>
        <v/>
      </c>
      <c r="I388" s="8" t="n"/>
      <c r="J388" s="8" t="n"/>
      <c r="K388" s="14">
        <f>IF($F388="","",IF($I388="예",ROUND($F388*기본설정!$C$14,0),0))</f>
        <v/>
      </c>
      <c r="L388" s="8" t="n"/>
    </row>
    <row r="389">
      <c r="B389" s="13" t="n"/>
      <c r="C389" s="8" t="n"/>
      <c r="D389" s="8" t="n"/>
      <c r="E389" s="8" t="n"/>
      <c r="F389" s="11" t="n"/>
      <c r="G389" s="14">
        <f>IF($F389="","",IF(기본설정!$C$9="일반과세자",ROUND($F389*기본설정!$C$15,0),0))</f>
        <v/>
      </c>
      <c r="H389" s="15">
        <f>IF($F389="","",$F389+$G389)</f>
        <v/>
      </c>
      <c r="I389" s="8" t="n"/>
      <c r="J389" s="8" t="n"/>
      <c r="K389" s="14">
        <f>IF($F389="","",IF($I389="예",ROUND($F389*기본설정!$C$14,0),0))</f>
        <v/>
      </c>
      <c r="L389" s="8" t="n"/>
    </row>
    <row r="390">
      <c r="B390" s="13" t="n"/>
      <c r="C390" s="8" t="n"/>
      <c r="D390" s="8" t="n"/>
      <c r="E390" s="8" t="n"/>
      <c r="F390" s="11" t="n"/>
      <c r="G390" s="14">
        <f>IF($F390="","",IF(기본설정!$C$9="일반과세자",ROUND($F390*기본설정!$C$15,0),0))</f>
        <v/>
      </c>
      <c r="H390" s="15">
        <f>IF($F390="","",$F390+$G390)</f>
        <v/>
      </c>
      <c r="I390" s="8" t="n"/>
      <c r="J390" s="8" t="n"/>
      <c r="K390" s="14">
        <f>IF($F390="","",IF($I390="예",ROUND($F390*기본설정!$C$14,0),0))</f>
        <v/>
      </c>
      <c r="L390" s="8" t="n"/>
    </row>
    <row r="391">
      <c r="B391" s="13" t="n"/>
      <c r="C391" s="8" t="n"/>
      <c r="D391" s="8" t="n"/>
      <c r="E391" s="8" t="n"/>
      <c r="F391" s="11" t="n"/>
      <c r="G391" s="14">
        <f>IF($F391="","",IF(기본설정!$C$9="일반과세자",ROUND($F391*기본설정!$C$15,0),0))</f>
        <v/>
      </c>
      <c r="H391" s="15">
        <f>IF($F391="","",$F391+$G391)</f>
        <v/>
      </c>
      <c r="I391" s="8" t="n"/>
      <c r="J391" s="8" t="n"/>
      <c r="K391" s="14">
        <f>IF($F391="","",IF($I391="예",ROUND($F391*기본설정!$C$14,0),0))</f>
        <v/>
      </c>
      <c r="L391" s="8" t="n"/>
    </row>
    <row r="392">
      <c r="B392" s="13" t="n"/>
      <c r="C392" s="8" t="n"/>
      <c r="D392" s="8" t="n"/>
      <c r="E392" s="8" t="n"/>
      <c r="F392" s="11" t="n"/>
      <c r="G392" s="14">
        <f>IF($F392="","",IF(기본설정!$C$9="일반과세자",ROUND($F392*기본설정!$C$15,0),0))</f>
        <v/>
      </c>
      <c r="H392" s="15">
        <f>IF($F392="","",$F392+$G392)</f>
        <v/>
      </c>
      <c r="I392" s="8" t="n"/>
      <c r="J392" s="8" t="n"/>
      <c r="K392" s="14">
        <f>IF($F392="","",IF($I392="예",ROUND($F392*기본설정!$C$14,0),0))</f>
        <v/>
      </c>
      <c r="L392" s="8" t="n"/>
    </row>
    <row r="393">
      <c r="B393" s="13" t="n"/>
      <c r="C393" s="8" t="n"/>
      <c r="D393" s="8" t="n"/>
      <c r="E393" s="8" t="n"/>
      <c r="F393" s="11" t="n"/>
      <c r="G393" s="14">
        <f>IF($F393="","",IF(기본설정!$C$9="일반과세자",ROUND($F393*기본설정!$C$15,0),0))</f>
        <v/>
      </c>
      <c r="H393" s="15">
        <f>IF($F393="","",$F393+$G393)</f>
        <v/>
      </c>
      <c r="I393" s="8" t="n"/>
      <c r="J393" s="8" t="n"/>
      <c r="K393" s="14">
        <f>IF($F393="","",IF($I393="예",ROUND($F393*기본설정!$C$14,0),0))</f>
        <v/>
      </c>
      <c r="L393" s="8" t="n"/>
    </row>
    <row r="394">
      <c r="B394" s="13" t="n"/>
      <c r="C394" s="8" t="n"/>
      <c r="D394" s="8" t="n"/>
      <c r="E394" s="8" t="n"/>
      <c r="F394" s="11" t="n"/>
      <c r="G394" s="14">
        <f>IF($F394="","",IF(기본설정!$C$9="일반과세자",ROUND($F394*기본설정!$C$15,0),0))</f>
        <v/>
      </c>
      <c r="H394" s="15">
        <f>IF($F394="","",$F394+$G394)</f>
        <v/>
      </c>
      <c r="I394" s="8" t="n"/>
      <c r="J394" s="8" t="n"/>
      <c r="K394" s="14">
        <f>IF($F394="","",IF($I394="예",ROUND($F394*기본설정!$C$14,0),0))</f>
        <v/>
      </c>
      <c r="L394" s="8" t="n"/>
    </row>
    <row r="395">
      <c r="B395" s="13" t="n"/>
      <c r="C395" s="8" t="n"/>
      <c r="D395" s="8" t="n"/>
      <c r="E395" s="8" t="n"/>
      <c r="F395" s="11" t="n"/>
      <c r="G395" s="14">
        <f>IF($F395="","",IF(기본설정!$C$9="일반과세자",ROUND($F395*기본설정!$C$15,0),0))</f>
        <v/>
      </c>
      <c r="H395" s="15">
        <f>IF($F395="","",$F395+$G395)</f>
        <v/>
      </c>
      <c r="I395" s="8" t="n"/>
      <c r="J395" s="8" t="n"/>
      <c r="K395" s="14">
        <f>IF($F395="","",IF($I395="예",ROUND($F395*기본설정!$C$14,0),0))</f>
        <v/>
      </c>
      <c r="L395" s="8" t="n"/>
    </row>
    <row r="396">
      <c r="B396" s="13" t="n"/>
      <c r="C396" s="8" t="n"/>
      <c r="D396" s="8" t="n"/>
      <c r="E396" s="8" t="n"/>
      <c r="F396" s="11" t="n"/>
      <c r="G396" s="14">
        <f>IF($F396="","",IF(기본설정!$C$9="일반과세자",ROUND($F396*기본설정!$C$15,0),0))</f>
        <v/>
      </c>
      <c r="H396" s="15">
        <f>IF($F396="","",$F396+$G396)</f>
        <v/>
      </c>
      <c r="I396" s="8" t="n"/>
      <c r="J396" s="8" t="n"/>
      <c r="K396" s="14">
        <f>IF($F396="","",IF($I396="예",ROUND($F396*기본설정!$C$14,0),0))</f>
        <v/>
      </c>
      <c r="L396" s="8" t="n"/>
    </row>
    <row r="397">
      <c r="B397" s="13" t="n"/>
      <c r="C397" s="8" t="n"/>
      <c r="D397" s="8" t="n"/>
      <c r="E397" s="8" t="n"/>
      <c r="F397" s="11" t="n"/>
      <c r="G397" s="14">
        <f>IF($F397="","",IF(기본설정!$C$9="일반과세자",ROUND($F397*기본설정!$C$15,0),0))</f>
        <v/>
      </c>
      <c r="H397" s="15">
        <f>IF($F397="","",$F397+$G397)</f>
        <v/>
      </c>
      <c r="I397" s="8" t="n"/>
      <c r="J397" s="8" t="n"/>
      <c r="K397" s="14">
        <f>IF($F397="","",IF($I397="예",ROUND($F397*기본설정!$C$14,0),0))</f>
        <v/>
      </c>
      <c r="L397" s="8" t="n"/>
    </row>
    <row r="398">
      <c r="B398" s="13" t="n"/>
      <c r="C398" s="8" t="n"/>
      <c r="D398" s="8" t="n"/>
      <c r="E398" s="8" t="n"/>
      <c r="F398" s="11" t="n"/>
      <c r="G398" s="14">
        <f>IF($F398="","",IF(기본설정!$C$9="일반과세자",ROUND($F398*기본설정!$C$15,0),0))</f>
        <v/>
      </c>
      <c r="H398" s="15">
        <f>IF($F398="","",$F398+$G398)</f>
        <v/>
      </c>
      <c r="I398" s="8" t="n"/>
      <c r="J398" s="8" t="n"/>
      <c r="K398" s="14">
        <f>IF($F398="","",IF($I398="예",ROUND($F398*기본설정!$C$14,0),0))</f>
        <v/>
      </c>
      <c r="L398" s="8" t="n"/>
    </row>
    <row r="399">
      <c r="B399" s="13" t="n"/>
      <c r="C399" s="8" t="n"/>
      <c r="D399" s="8" t="n"/>
      <c r="E399" s="8" t="n"/>
      <c r="F399" s="11" t="n"/>
      <c r="G399" s="14">
        <f>IF($F399="","",IF(기본설정!$C$9="일반과세자",ROUND($F399*기본설정!$C$15,0),0))</f>
        <v/>
      </c>
      <c r="H399" s="15">
        <f>IF($F399="","",$F399+$G399)</f>
        <v/>
      </c>
      <c r="I399" s="8" t="n"/>
      <c r="J399" s="8" t="n"/>
      <c r="K399" s="14">
        <f>IF($F399="","",IF($I399="예",ROUND($F399*기본설정!$C$14,0),0))</f>
        <v/>
      </c>
      <c r="L399" s="8" t="n"/>
    </row>
    <row r="400">
      <c r="B400" s="13" t="n"/>
      <c r="C400" s="8" t="n"/>
      <c r="D400" s="8" t="n"/>
      <c r="E400" s="8" t="n"/>
      <c r="F400" s="11" t="n"/>
      <c r="G400" s="14">
        <f>IF($F400="","",IF(기본설정!$C$9="일반과세자",ROUND($F400*기본설정!$C$15,0),0))</f>
        <v/>
      </c>
      <c r="H400" s="15">
        <f>IF($F400="","",$F400+$G400)</f>
        <v/>
      </c>
      <c r="I400" s="8" t="n"/>
      <c r="J400" s="8" t="n"/>
      <c r="K400" s="14">
        <f>IF($F400="","",IF($I400="예",ROUND($F400*기본설정!$C$14,0),0))</f>
        <v/>
      </c>
      <c r="L400" s="8" t="n"/>
    </row>
    <row r="401">
      <c r="B401" s="13" t="n"/>
      <c r="C401" s="8" t="n"/>
      <c r="D401" s="8" t="n"/>
      <c r="E401" s="8" t="n"/>
      <c r="F401" s="11" t="n"/>
      <c r="G401" s="14">
        <f>IF($F401="","",IF(기본설정!$C$9="일반과세자",ROUND($F401*기본설정!$C$15,0),0))</f>
        <v/>
      </c>
      <c r="H401" s="15">
        <f>IF($F401="","",$F401+$G401)</f>
        <v/>
      </c>
      <c r="I401" s="8" t="n"/>
      <c r="J401" s="8" t="n"/>
      <c r="K401" s="14">
        <f>IF($F401="","",IF($I401="예",ROUND($F401*기본설정!$C$14,0),0))</f>
        <v/>
      </c>
      <c r="L401" s="8" t="n"/>
    </row>
    <row r="402">
      <c r="B402" s="13" t="n"/>
      <c r="C402" s="8" t="n"/>
      <c r="D402" s="8" t="n"/>
      <c r="E402" s="8" t="n"/>
      <c r="F402" s="11" t="n"/>
      <c r="G402" s="14">
        <f>IF($F402="","",IF(기본설정!$C$9="일반과세자",ROUND($F402*기본설정!$C$15,0),0))</f>
        <v/>
      </c>
      <c r="H402" s="15">
        <f>IF($F402="","",$F402+$G402)</f>
        <v/>
      </c>
      <c r="I402" s="8" t="n"/>
      <c r="J402" s="8" t="n"/>
      <c r="K402" s="14">
        <f>IF($F402="","",IF($I402="예",ROUND($F402*기본설정!$C$14,0),0))</f>
        <v/>
      </c>
      <c r="L402" s="8" t="n"/>
    </row>
    <row r="403">
      <c r="B403" s="13" t="n"/>
      <c r="C403" s="8" t="n"/>
      <c r="D403" s="8" t="n"/>
      <c r="E403" s="8" t="n"/>
      <c r="F403" s="11" t="n"/>
      <c r="G403" s="14">
        <f>IF($F403="","",IF(기본설정!$C$9="일반과세자",ROUND($F403*기본설정!$C$15,0),0))</f>
        <v/>
      </c>
      <c r="H403" s="15">
        <f>IF($F403="","",$F403+$G403)</f>
        <v/>
      </c>
      <c r="I403" s="8" t="n"/>
      <c r="J403" s="8" t="n"/>
      <c r="K403" s="14">
        <f>IF($F403="","",IF($I403="예",ROUND($F403*기본설정!$C$14,0),0))</f>
        <v/>
      </c>
      <c r="L403" s="8" t="n"/>
    </row>
    <row r="404">
      <c r="B404" s="13" t="n"/>
      <c r="C404" s="8" t="n"/>
      <c r="D404" s="8" t="n"/>
      <c r="E404" s="8" t="n"/>
      <c r="F404" s="11" t="n"/>
      <c r="G404" s="14">
        <f>IF($F404="","",IF(기본설정!$C$9="일반과세자",ROUND($F404*기본설정!$C$15,0),0))</f>
        <v/>
      </c>
      <c r="H404" s="15">
        <f>IF($F404="","",$F404+$G404)</f>
        <v/>
      </c>
      <c r="I404" s="8" t="n"/>
      <c r="J404" s="8" t="n"/>
      <c r="K404" s="14">
        <f>IF($F404="","",IF($I404="예",ROUND($F404*기본설정!$C$14,0),0))</f>
        <v/>
      </c>
      <c r="L404" s="8" t="n"/>
    </row>
    <row r="405">
      <c r="B405" s="13" t="n"/>
      <c r="C405" s="8" t="n"/>
      <c r="D405" s="8" t="n"/>
      <c r="E405" s="8" t="n"/>
      <c r="F405" s="11" t="n"/>
      <c r="G405" s="14">
        <f>IF($F405="","",IF(기본설정!$C$9="일반과세자",ROUND($F405*기본설정!$C$15,0),0))</f>
        <v/>
      </c>
      <c r="H405" s="15">
        <f>IF($F405="","",$F405+$G405)</f>
        <v/>
      </c>
      <c r="I405" s="8" t="n"/>
      <c r="J405" s="8" t="n"/>
      <c r="K405" s="14">
        <f>IF($F405="","",IF($I405="예",ROUND($F405*기본설정!$C$14,0),0))</f>
        <v/>
      </c>
      <c r="L405" s="8" t="n"/>
    </row>
    <row r="406">
      <c r="B406" s="13" t="n"/>
      <c r="C406" s="8" t="n"/>
      <c r="D406" s="8" t="n"/>
      <c r="E406" s="8" t="n"/>
      <c r="F406" s="11" t="n"/>
      <c r="G406" s="14">
        <f>IF($F406="","",IF(기본설정!$C$9="일반과세자",ROUND($F406*기본설정!$C$15,0),0))</f>
        <v/>
      </c>
      <c r="H406" s="15">
        <f>IF($F406="","",$F406+$G406)</f>
        <v/>
      </c>
      <c r="I406" s="8" t="n"/>
      <c r="J406" s="8" t="n"/>
      <c r="K406" s="14">
        <f>IF($F406="","",IF($I406="예",ROUND($F406*기본설정!$C$14,0),0))</f>
        <v/>
      </c>
      <c r="L406" s="8" t="n"/>
    </row>
    <row r="407">
      <c r="B407" s="13" t="n"/>
      <c r="C407" s="8" t="n"/>
      <c r="D407" s="8" t="n"/>
      <c r="E407" s="8" t="n"/>
      <c r="F407" s="11" t="n"/>
      <c r="G407" s="14">
        <f>IF($F407="","",IF(기본설정!$C$9="일반과세자",ROUND($F407*기본설정!$C$15,0),0))</f>
        <v/>
      </c>
      <c r="H407" s="15">
        <f>IF($F407="","",$F407+$G407)</f>
        <v/>
      </c>
      <c r="I407" s="8" t="n"/>
      <c r="J407" s="8" t="n"/>
      <c r="K407" s="14">
        <f>IF($F407="","",IF($I407="예",ROUND($F407*기본설정!$C$14,0),0))</f>
        <v/>
      </c>
      <c r="L407" s="8" t="n"/>
    </row>
    <row r="408">
      <c r="B408" s="13" t="n"/>
      <c r="C408" s="8" t="n"/>
      <c r="D408" s="8" t="n"/>
      <c r="E408" s="8" t="n"/>
      <c r="F408" s="11" t="n"/>
      <c r="G408" s="14">
        <f>IF($F408="","",IF(기본설정!$C$9="일반과세자",ROUND($F408*기본설정!$C$15,0),0))</f>
        <v/>
      </c>
      <c r="H408" s="15">
        <f>IF($F408="","",$F408+$G408)</f>
        <v/>
      </c>
      <c r="I408" s="8" t="n"/>
      <c r="J408" s="8" t="n"/>
      <c r="K408" s="14">
        <f>IF($F408="","",IF($I408="예",ROUND($F408*기본설정!$C$14,0),0))</f>
        <v/>
      </c>
      <c r="L408" s="8" t="n"/>
    </row>
    <row r="409">
      <c r="B409" s="13" t="n"/>
      <c r="C409" s="8" t="n"/>
      <c r="D409" s="8" t="n"/>
      <c r="E409" s="8" t="n"/>
      <c r="F409" s="11" t="n"/>
      <c r="G409" s="14">
        <f>IF($F409="","",IF(기본설정!$C$9="일반과세자",ROUND($F409*기본설정!$C$15,0),0))</f>
        <v/>
      </c>
      <c r="H409" s="15">
        <f>IF($F409="","",$F409+$G409)</f>
        <v/>
      </c>
      <c r="I409" s="8" t="n"/>
      <c r="J409" s="8" t="n"/>
      <c r="K409" s="14">
        <f>IF($F409="","",IF($I409="예",ROUND($F409*기본설정!$C$14,0),0))</f>
        <v/>
      </c>
      <c r="L409" s="8" t="n"/>
    </row>
    <row r="410">
      <c r="B410" s="13" t="n"/>
      <c r="C410" s="8" t="n"/>
      <c r="D410" s="8" t="n"/>
      <c r="E410" s="8" t="n"/>
      <c r="F410" s="11" t="n"/>
      <c r="G410" s="14">
        <f>IF($F410="","",IF(기본설정!$C$9="일반과세자",ROUND($F410*기본설정!$C$15,0),0))</f>
        <v/>
      </c>
      <c r="H410" s="15">
        <f>IF($F410="","",$F410+$G410)</f>
        <v/>
      </c>
      <c r="I410" s="8" t="n"/>
      <c r="J410" s="8" t="n"/>
      <c r="K410" s="14">
        <f>IF($F410="","",IF($I410="예",ROUND($F410*기본설정!$C$14,0),0))</f>
        <v/>
      </c>
      <c r="L410" s="8" t="n"/>
    </row>
    <row r="411">
      <c r="B411" s="13" t="n"/>
      <c r="C411" s="8" t="n"/>
      <c r="D411" s="8" t="n"/>
      <c r="E411" s="8" t="n"/>
      <c r="F411" s="11" t="n"/>
      <c r="G411" s="14">
        <f>IF($F411="","",IF(기본설정!$C$9="일반과세자",ROUND($F411*기본설정!$C$15,0),0))</f>
        <v/>
      </c>
      <c r="H411" s="15">
        <f>IF($F411="","",$F411+$G411)</f>
        <v/>
      </c>
      <c r="I411" s="8" t="n"/>
      <c r="J411" s="8" t="n"/>
      <c r="K411" s="14">
        <f>IF($F411="","",IF($I411="예",ROUND($F411*기본설정!$C$14,0),0))</f>
        <v/>
      </c>
      <c r="L411" s="8" t="n"/>
    </row>
    <row r="412">
      <c r="B412" s="13" t="n"/>
      <c r="C412" s="8" t="n"/>
      <c r="D412" s="8" t="n"/>
      <c r="E412" s="8" t="n"/>
      <c r="F412" s="11" t="n"/>
      <c r="G412" s="14">
        <f>IF($F412="","",IF(기본설정!$C$9="일반과세자",ROUND($F412*기본설정!$C$15,0),0))</f>
        <v/>
      </c>
      <c r="H412" s="15">
        <f>IF($F412="","",$F412+$G412)</f>
        <v/>
      </c>
      <c r="I412" s="8" t="n"/>
      <c r="J412" s="8" t="n"/>
      <c r="K412" s="14">
        <f>IF($F412="","",IF($I412="예",ROUND($F412*기본설정!$C$14,0),0))</f>
        <v/>
      </c>
      <c r="L412" s="8" t="n"/>
    </row>
    <row r="413">
      <c r="B413" s="13" t="n"/>
      <c r="C413" s="8" t="n"/>
      <c r="D413" s="8" t="n"/>
      <c r="E413" s="8" t="n"/>
      <c r="F413" s="11" t="n"/>
      <c r="G413" s="14">
        <f>IF($F413="","",IF(기본설정!$C$9="일반과세자",ROUND($F413*기본설정!$C$15,0),0))</f>
        <v/>
      </c>
      <c r="H413" s="15">
        <f>IF($F413="","",$F413+$G413)</f>
        <v/>
      </c>
      <c r="I413" s="8" t="n"/>
      <c r="J413" s="8" t="n"/>
      <c r="K413" s="14">
        <f>IF($F413="","",IF($I413="예",ROUND($F413*기본설정!$C$14,0),0))</f>
        <v/>
      </c>
      <c r="L413" s="8" t="n"/>
    </row>
    <row r="414">
      <c r="B414" s="13" t="n"/>
      <c r="C414" s="8" t="n"/>
      <c r="D414" s="8" t="n"/>
      <c r="E414" s="8" t="n"/>
      <c r="F414" s="11" t="n"/>
      <c r="G414" s="14">
        <f>IF($F414="","",IF(기본설정!$C$9="일반과세자",ROUND($F414*기본설정!$C$15,0),0))</f>
        <v/>
      </c>
      <c r="H414" s="15">
        <f>IF($F414="","",$F414+$G414)</f>
        <v/>
      </c>
      <c r="I414" s="8" t="n"/>
      <c r="J414" s="8" t="n"/>
      <c r="K414" s="14">
        <f>IF($F414="","",IF($I414="예",ROUND($F414*기본설정!$C$14,0),0))</f>
        <v/>
      </c>
      <c r="L414" s="8" t="n"/>
    </row>
    <row r="415">
      <c r="B415" s="13" t="n"/>
      <c r="C415" s="8" t="n"/>
      <c r="D415" s="8" t="n"/>
      <c r="E415" s="8" t="n"/>
      <c r="F415" s="11" t="n"/>
      <c r="G415" s="14">
        <f>IF($F415="","",IF(기본설정!$C$9="일반과세자",ROUND($F415*기본설정!$C$15,0),0))</f>
        <v/>
      </c>
      <c r="H415" s="15">
        <f>IF($F415="","",$F415+$G415)</f>
        <v/>
      </c>
      <c r="I415" s="8" t="n"/>
      <c r="J415" s="8" t="n"/>
      <c r="K415" s="14">
        <f>IF($F415="","",IF($I415="예",ROUND($F415*기본설정!$C$14,0),0))</f>
        <v/>
      </c>
      <c r="L415" s="8" t="n"/>
    </row>
    <row r="416">
      <c r="B416" s="13" t="n"/>
      <c r="C416" s="8" t="n"/>
      <c r="D416" s="8" t="n"/>
      <c r="E416" s="8" t="n"/>
      <c r="F416" s="11" t="n"/>
      <c r="G416" s="14">
        <f>IF($F416="","",IF(기본설정!$C$9="일반과세자",ROUND($F416*기본설정!$C$15,0),0))</f>
        <v/>
      </c>
      <c r="H416" s="15">
        <f>IF($F416="","",$F416+$G416)</f>
        <v/>
      </c>
      <c r="I416" s="8" t="n"/>
      <c r="J416" s="8" t="n"/>
      <c r="K416" s="14">
        <f>IF($F416="","",IF($I416="예",ROUND($F416*기본설정!$C$14,0),0))</f>
        <v/>
      </c>
      <c r="L416" s="8" t="n"/>
    </row>
    <row r="417">
      <c r="B417" s="13" t="n"/>
      <c r="C417" s="8" t="n"/>
      <c r="D417" s="8" t="n"/>
      <c r="E417" s="8" t="n"/>
      <c r="F417" s="11" t="n"/>
      <c r="G417" s="14">
        <f>IF($F417="","",IF(기본설정!$C$9="일반과세자",ROUND($F417*기본설정!$C$15,0),0))</f>
        <v/>
      </c>
      <c r="H417" s="15">
        <f>IF($F417="","",$F417+$G417)</f>
        <v/>
      </c>
      <c r="I417" s="8" t="n"/>
      <c r="J417" s="8" t="n"/>
      <c r="K417" s="14">
        <f>IF($F417="","",IF($I417="예",ROUND($F417*기본설정!$C$14,0),0))</f>
        <v/>
      </c>
      <c r="L417" s="8" t="n"/>
    </row>
    <row r="418">
      <c r="B418" s="13" t="n"/>
      <c r="C418" s="8" t="n"/>
      <c r="D418" s="8" t="n"/>
      <c r="E418" s="8" t="n"/>
      <c r="F418" s="11" t="n"/>
      <c r="G418" s="14">
        <f>IF($F418="","",IF(기본설정!$C$9="일반과세자",ROUND($F418*기본설정!$C$15,0),0))</f>
        <v/>
      </c>
      <c r="H418" s="15">
        <f>IF($F418="","",$F418+$G418)</f>
        <v/>
      </c>
      <c r="I418" s="8" t="n"/>
      <c r="J418" s="8" t="n"/>
      <c r="K418" s="14">
        <f>IF($F418="","",IF($I418="예",ROUND($F418*기본설정!$C$14,0),0))</f>
        <v/>
      </c>
      <c r="L418" s="8" t="n"/>
    </row>
    <row r="419">
      <c r="B419" s="13" t="n"/>
      <c r="C419" s="8" t="n"/>
      <c r="D419" s="8" t="n"/>
      <c r="E419" s="8" t="n"/>
      <c r="F419" s="11" t="n"/>
      <c r="G419" s="14">
        <f>IF($F419="","",IF(기본설정!$C$9="일반과세자",ROUND($F419*기본설정!$C$15,0),0))</f>
        <v/>
      </c>
      <c r="H419" s="15">
        <f>IF($F419="","",$F419+$G419)</f>
        <v/>
      </c>
      <c r="I419" s="8" t="n"/>
      <c r="J419" s="8" t="n"/>
      <c r="K419" s="14">
        <f>IF($F419="","",IF($I419="예",ROUND($F419*기본설정!$C$14,0),0))</f>
        <v/>
      </c>
      <c r="L419" s="8" t="n"/>
    </row>
    <row r="420">
      <c r="B420" s="13" t="n"/>
      <c r="C420" s="8" t="n"/>
      <c r="D420" s="8" t="n"/>
      <c r="E420" s="8" t="n"/>
      <c r="F420" s="11" t="n"/>
      <c r="G420" s="14">
        <f>IF($F420="","",IF(기본설정!$C$9="일반과세자",ROUND($F420*기본설정!$C$15,0),0))</f>
        <v/>
      </c>
      <c r="H420" s="15">
        <f>IF($F420="","",$F420+$G420)</f>
        <v/>
      </c>
      <c r="I420" s="8" t="n"/>
      <c r="J420" s="8" t="n"/>
      <c r="K420" s="14">
        <f>IF($F420="","",IF($I420="예",ROUND($F420*기본설정!$C$14,0),0))</f>
        <v/>
      </c>
      <c r="L420" s="8" t="n"/>
    </row>
    <row r="421">
      <c r="B421" s="13" t="n"/>
      <c r="C421" s="8" t="n"/>
      <c r="D421" s="8" t="n"/>
      <c r="E421" s="8" t="n"/>
      <c r="F421" s="11" t="n"/>
      <c r="G421" s="14">
        <f>IF($F421="","",IF(기본설정!$C$9="일반과세자",ROUND($F421*기본설정!$C$15,0),0))</f>
        <v/>
      </c>
      <c r="H421" s="15">
        <f>IF($F421="","",$F421+$G421)</f>
        <v/>
      </c>
      <c r="I421" s="8" t="n"/>
      <c r="J421" s="8" t="n"/>
      <c r="K421" s="14">
        <f>IF($F421="","",IF($I421="예",ROUND($F421*기본설정!$C$14,0),0))</f>
        <v/>
      </c>
      <c r="L421" s="8" t="n"/>
    </row>
    <row r="422">
      <c r="B422" s="13" t="n"/>
      <c r="C422" s="8" t="n"/>
      <c r="D422" s="8" t="n"/>
      <c r="E422" s="8" t="n"/>
      <c r="F422" s="11" t="n"/>
      <c r="G422" s="14">
        <f>IF($F422="","",IF(기본설정!$C$9="일반과세자",ROUND($F422*기본설정!$C$15,0),0))</f>
        <v/>
      </c>
      <c r="H422" s="15">
        <f>IF($F422="","",$F422+$G422)</f>
        <v/>
      </c>
      <c r="I422" s="8" t="n"/>
      <c r="J422" s="8" t="n"/>
      <c r="K422" s="14">
        <f>IF($F422="","",IF($I422="예",ROUND($F422*기본설정!$C$14,0),0))</f>
        <v/>
      </c>
      <c r="L422" s="8" t="n"/>
    </row>
    <row r="423">
      <c r="B423" s="13" t="n"/>
      <c r="C423" s="8" t="n"/>
      <c r="D423" s="8" t="n"/>
      <c r="E423" s="8" t="n"/>
      <c r="F423" s="11" t="n"/>
      <c r="G423" s="14">
        <f>IF($F423="","",IF(기본설정!$C$9="일반과세자",ROUND($F423*기본설정!$C$15,0),0))</f>
        <v/>
      </c>
      <c r="H423" s="15">
        <f>IF($F423="","",$F423+$G423)</f>
        <v/>
      </c>
      <c r="I423" s="8" t="n"/>
      <c r="J423" s="8" t="n"/>
      <c r="K423" s="14">
        <f>IF($F423="","",IF($I423="예",ROUND($F423*기본설정!$C$14,0),0))</f>
        <v/>
      </c>
      <c r="L423" s="8" t="n"/>
    </row>
    <row r="424">
      <c r="B424" s="13" t="n"/>
      <c r="C424" s="8" t="n"/>
      <c r="D424" s="8" t="n"/>
      <c r="E424" s="8" t="n"/>
      <c r="F424" s="11" t="n"/>
      <c r="G424" s="14">
        <f>IF($F424="","",IF(기본설정!$C$9="일반과세자",ROUND($F424*기본설정!$C$15,0),0))</f>
        <v/>
      </c>
      <c r="H424" s="15">
        <f>IF($F424="","",$F424+$G424)</f>
        <v/>
      </c>
      <c r="I424" s="8" t="n"/>
      <c r="J424" s="8" t="n"/>
      <c r="K424" s="14">
        <f>IF($F424="","",IF($I424="예",ROUND($F424*기본설정!$C$14,0),0))</f>
        <v/>
      </c>
      <c r="L424" s="8" t="n"/>
    </row>
    <row r="425">
      <c r="B425" s="13" t="n"/>
      <c r="C425" s="8" t="n"/>
      <c r="D425" s="8" t="n"/>
      <c r="E425" s="8" t="n"/>
      <c r="F425" s="11" t="n"/>
      <c r="G425" s="14">
        <f>IF($F425="","",IF(기본설정!$C$9="일반과세자",ROUND($F425*기본설정!$C$15,0),0))</f>
        <v/>
      </c>
      <c r="H425" s="15">
        <f>IF($F425="","",$F425+$G425)</f>
        <v/>
      </c>
      <c r="I425" s="8" t="n"/>
      <c r="J425" s="8" t="n"/>
      <c r="K425" s="14">
        <f>IF($F425="","",IF($I425="예",ROUND($F425*기본설정!$C$14,0),0))</f>
        <v/>
      </c>
      <c r="L425" s="8" t="n"/>
    </row>
    <row r="426">
      <c r="B426" s="13" t="n"/>
      <c r="C426" s="8" t="n"/>
      <c r="D426" s="8" t="n"/>
      <c r="E426" s="8" t="n"/>
      <c r="F426" s="11" t="n"/>
      <c r="G426" s="14">
        <f>IF($F426="","",IF(기본설정!$C$9="일반과세자",ROUND($F426*기본설정!$C$15,0),0))</f>
        <v/>
      </c>
      <c r="H426" s="15">
        <f>IF($F426="","",$F426+$G426)</f>
        <v/>
      </c>
      <c r="I426" s="8" t="n"/>
      <c r="J426" s="8" t="n"/>
      <c r="K426" s="14">
        <f>IF($F426="","",IF($I426="예",ROUND($F426*기본설정!$C$14,0),0))</f>
        <v/>
      </c>
      <c r="L426" s="8" t="n"/>
    </row>
    <row r="427">
      <c r="B427" s="13" t="n"/>
      <c r="C427" s="8" t="n"/>
      <c r="D427" s="8" t="n"/>
      <c r="E427" s="8" t="n"/>
      <c r="F427" s="11" t="n"/>
      <c r="G427" s="14">
        <f>IF($F427="","",IF(기본설정!$C$9="일반과세자",ROUND($F427*기본설정!$C$15,0),0))</f>
        <v/>
      </c>
      <c r="H427" s="15">
        <f>IF($F427="","",$F427+$G427)</f>
        <v/>
      </c>
      <c r="I427" s="8" t="n"/>
      <c r="J427" s="8" t="n"/>
      <c r="K427" s="14">
        <f>IF($F427="","",IF($I427="예",ROUND($F427*기본설정!$C$14,0),0))</f>
        <v/>
      </c>
      <c r="L427" s="8" t="n"/>
    </row>
    <row r="428">
      <c r="B428" s="13" t="n"/>
      <c r="C428" s="8" t="n"/>
      <c r="D428" s="8" t="n"/>
      <c r="E428" s="8" t="n"/>
      <c r="F428" s="11" t="n"/>
      <c r="G428" s="14">
        <f>IF($F428="","",IF(기본설정!$C$9="일반과세자",ROUND($F428*기본설정!$C$15,0),0))</f>
        <v/>
      </c>
      <c r="H428" s="15">
        <f>IF($F428="","",$F428+$G428)</f>
        <v/>
      </c>
      <c r="I428" s="8" t="n"/>
      <c r="J428" s="8" t="n"/>
      <c r="K428" s="14">
        <f>IF($F428="","",IF($I428="예",ROUND($F428*기본설정!$C$14,0),0))</f>
        <v/>
      </c>
      <c r="L428" s="8" t="n"/>
    </row>
    <row r="429">
      <c r="B429" s="13" t="n"/>
      <c r="C429" s="8" t="n"/>
      <c r="D429" s="8" t="n"/>
      <c r="E429" s="8" t="n"/>
      <c r="F429" s="11" t="n"/>
      <c r="G429" s="14">
        <f>IF($F429="","",IF(기본설정!$C$9="일반과세자",ROUND($F429*기본설정!$C$15,0),0))</f>
        <v/>
      </c>
      <c r="H429" s="15">
        <f>IF($F429="","",$F429+$G429)</f>
        <v/>
      </c>
      <c r="I429" s="8" t="n"/>
      <c r="J429" s="8" t="n"/>
      <c r="K429" s="14">
        <f>IF($F429="","",IF($I429="예",ROUND($F429*기본설정!$C$14,0),0))</f>
        <v/>
      </c>
      <c r="L429" s="8" t="n"/>
    </row>
    <row r="430">
      <c r="B430" s="13" t="n"/>
      <c r="C430" s="8" t="n"/>
      <c r="D430" s="8" t="n"/>
      <c r="E430" s="8" t="n"/>
      <c r="F430" s="11" t="n"/>
      <c r="G430" s="14">
        <f>IF($F430="","",IF(기본설정!$C$9="일반과세자",ROUND($F430*기본설정!$C$15,0),0))</f>
        <v/>
      </c>
      <c r="H430" s="15">
        <f>IF($F430="","",$F430+$G430)</f>
        <v/>
      </c>
      <c r="I430" s="8" t="n"/>
      <c r="J430" s="8" t="n"/>
      <c r="K430" s="14">
        <f>IF($F430="","",IF($I430="예",ROUND($F430*기본설정!$C$14,0),0))</f>
        <v/>
      </c>
      <c r="L430" s="8" t="n"/>
    </row>
    <row r="431">
      <c r="B431" s="13" t="n"/>
      <c r="C431" s="8" t="n"/>
      <c r="D431" s="8" t="n"/>
      <c r="E431" s="8" t="n"/>
      <c r="F431" s="11" t="n"/>
      <c r="G431" s="14">
        <f>IF($F431="","",IF(기본설정!$C$9="일반과세자",ROUND($F431*기본설정!$C$15,0),0))</f>
        <v/>
      </c>
      <c r="H431" s="15">
        <f>IF($F431="","",$F431+$G431)</f>
        <v/>
      </c>
      <c r="I431" s="8" t="n"/>
      <c r="J431" s="8" t="n"/>
      <c r="K431" s="14">
        <f>IF($F431="","",IF($I431="예",ROUND($F431*기본설정!$C$14,0),0))</f>
        <v/>
      </c>
      <c r="L431" s="8" t="n"/>
    </row>
    <row r="432">
      <c r="B432" s="13" t="n"/>
      <c r="C432" s="8" t="n"/>
      <c r="D432" s="8" t="n"/>
      <c r="E432" s="8" t="n"/>
      <c r="F432" s="11" t="n"/>
      <c r="G432" s="14">
        <f>IF($F432="","",IF(기본설정!$C$9="일반과세자",ROUND($F432*기본설정!$C$15,0),0))</f>
        <v/>
      </c>
      <c r="H432" s="15">
        <f>IF($F432="","",$F432+$G432)</f>
        <v/>
      </c>
      <c r="I432" s="8" t="n"/>
      <c r="J432" s="8" t="n"/>
      <c r="K432" s="14">
        <f>IF($F432="","",IF($I432="예",ROUND($F432*기본설정!$C$14,0),0))</f>
        <v/>
      </c>
      <c r="L432" s="8" t="n"/>
    </row>
    <row r="433">
      <c r="B433" s="13" t="n"/>
      <c r="C433" s="8" t="n"/>
      <c r="D433" s="8" t="n"/>
      <c r="E433" s="8" t="n"/>
      <c r="F433" s="11" t="n"/>
      <c r="G433" s="14">
        <f>IF($F433="","",IF(기본설정!$C$9="일반과세자",ROUND($F433*기본설정!$C$15,0),0))</f>
        <v/>
      </c>
      <c r="H433" s="15">
        <f>IF($F433="","",$F433+$G433)</f>
        <v/>
      </c>
      <c r="I433" s="8" t="n"/>
      <c r="J433" s="8" t="n"/>
      <c r="K433" s="14">
        <f>IF($F433="","",IF($I433="예",ROUND($F433*기본설정!$C$14,0),0))</f>
        <v/>
      </c>
      <c r="L433" s="8" t="n"/>
    </row>
    <row r="434">
      <c r="B434" s="13" t="n"/>
      <c r="C434" s="8" t="n"/>
      <c r="D434" s="8" t="n"/>
      <c r="E434" s="8" t="n"/>
      <c r="F434" s="11" t="n"/>
      <c r="G434" s="14">
        <f>IF($F434="","",IF(기본설정!$C$9="일반과세자",ROUND($F434*기본설정!$C$15,0),0))</f>
        <v/>
      </c>
      <c r="H434" s="15">
        <f>IF($F434="","",$F434+$G434)</f>
        <v/>
      </c>
      <c r="I434" s="8" t="n"/>
      <c r="J434" s="8" t="n"/>
      <c r="K434" s="14">
        <f>IF($F434="","",IF($I434="예",ROUND($F434*기본설정!$C$14,0),0))</f>
        <v/>
      </c>
      <c r="L434" s="8" t="n"/>
    </row>
    <row r="435">
      <c r="B435" s="13" t="n"/>
      <c r="C435" s="8" t="n"/>
      <c r="D435" s="8" t="n"/>
      <c r="E435" s="8" t="n"/>
      <c r="F435" s="11" t="n"/>
      <c r="G435" s="14">
        <f>IF($F435="","",IF(기본설정!$C$9="일반과세자",ROUND($F435*기본설정!$C$15,0),0))</f>
        <v/>
      </c>
      <c r="H435" s="15">
        <f>IF($F435="","",$F435+$G435)</f>
        <v/>
      </c>
      <c r="I435" s="8" t="n"/>
      <c r="J435" s="8" t="n"/>
      <c r="K435" s="14">
        <f>IF($F435="","",IF($I435="예",ROUND($F435*기본설정!$C$14,0),0))</f>
        <v/>
      </c>
      <c r="L435" s="8" t="n"/>
    </row>
    <row r="436">
      <c r="B436" s="13" t="n"/>
      <c r="C436" s="8" t="n"/>
      <c r="D436" s="8" t="n"/>
      <c r="E436" s="8" t="n"/>
      <c r="F436" s="11" t="n"/>
      <c r="G436" s="14">
        <f>IF($F436="","",IF(기본설정!$C$9="일반과세자",ROUND($F436*기본설정!$C$15,0),0))</f>
        <v/>
      </c>
      <c r="H436" s="15">
        <f>IF($F436="","",$F436+$G436)</f>
        <v/>
      </c>
      <c r="I436" s="8" t="n"/>
      <c r="J436" s="8" t="n"/>
      <c r="K436" s="14">
        <f>IF($F436="","",IF($I436="예",ROUND($F436*기본설정!$C$14,0),0))</f>
        <v/>
      </c>
      <c r="L436" s="8" t="n"/>
    </row>
    <row r="437">
      <c r="B437" s="13" t="n"/>
      <c r="C437" s="8" t="n"/>
      <c r="D437" s="8" t="n"/>
      <c r="E437" s="8" t="n"/>
      <c r="F437" s="11" t="n"/>
      <c r="G437" s="14">
        <f>IF($F437="","",IF(기본설정!$C$9="일반과세자",ROUND($F437*기본설정!$C$15,0),0))</f>
        <v/>
      </c>
      <c r="H437" s="15">
        <f>IF($F437="","",$F437+$G437)</f>
        <v/>
      </c>
      <c r="I437" s="8" t="n"/>
      <c r="J437" s="8" t="n"/>
      <c r="K437" s="14">
        <f>IF($F437="","",IF($I437="예",ROUND($F437*기본설정!$C$14,0),0))</f>
        <v/>
      </c>
      <c r="L437" s="8" t="n"/>
    </row>
    <row r="438">
      <c r="B438" s="13" t="n"/>
      <c r="C438" s="8" t="n"/>
      <c r="D438" s="8" t="n"/>
      <c r="E438" s="8" t="n"/>
      <c r="F438" s="11" t="n"/>
      <c r="G438" s="14">
        <f>IF($F438="","",IF(기본설정!$C$9="일반과세자",ROUND($F438*기본설정!$C$15,0),0))</f>
        <v/>
      </c>
      <c r="H438" s="15">
        <f>IF($F438="","",$F438+$G438)</f>
        <v/>
      </c>
      <c r="I438" s="8" t="n"/>
      <c r="J438" s="8" t="n"/>
      <c r="K438" s="14">
        <f>IF($F438="","",IF($I438="예",ROUND($F438*기본설정!$C$14,0),0))</f>
        <v/>
      </c>
      <c r="L438" s="8" t="n"/>
    </row>
    <row r="439">
      <c r="B439" s="13" t="n"/>
      <c r="C439" s="8" t="n"/>
      <c r="D439" s="8" t="n"/>
      <c r="E439" s="8" t="n"/>
      <c r="F439" s="11" t="n"/>
      <c r="G439" s="14">
        <f>IF($F439="","",IF(기본설정!$C$9="일반과세자",ROUND($F439*기본설정!$C$15,0),0))</f>
        <v/>
      </c>
      <c r="H439" s="15">
        <f>IF($F439="","",$F439+$G439)</f>
        <v/>
      </c>
      <c r="I439" s="8" t="n"/>
      <c r="J439" s="8" t="n"/>
      <c r="K439" s="14">
        <f>IF($F439="","",IF($I439="예",ROUND($F439*기본설정!$C$14,0),0))</f>
        <v/>
      </c>
      <c r="L439" s="8" t="n"/>
    </row>
    <row r="440">
      <c r="B440" s="13" t="n"/>
      <c r="C440" s="8" t="n"/>
      <c r="D440" s="8" t="n"/>
      <c r="E440" s="8" t="n"/>
      <c r="F440" s="11" t="n"/>
      <c r="G440" s="14">
        <f>IF($F440="","",IF(기본설정!$C$9="일반과세자",ROUND($F440*기본설정!$C$15,0),0))</f>
        <v/>
      </c>
      <c r="H440" s="15">
        <f>IF($F440="","",$F440+$G440)</f>
        <v/>
      </c>
      <c r="I440" s="8" t="n"/>
      <c r="J440" s="8" t="n"/>
      <c r="K440" s="14">
        <f>IF($F440="","",IF($I440="예",ROUND($F440*기본설정!$C$14,0),0))</f>
        <v/>
      </c>
      <c r="L440" s="8" t="n"/>
    </row>
    <row r="441">
      <c r="B441" s="13" t="n"/>
      <c r="C441" s="8" t="n"/>
      <c r="D441" s="8" t="n"/>
      <c r="E441" s="8" t="n"/>
      <c r="F441" s="11" t="n"/>
      <c r="G441" s="14">
        <f>IF($F441="","",IF(기본설정!$C$9="일반과세자",ROUND($F441*기본설정!$C$15,0),0))</f>
        <v/>
      </c>
      <c r="H441" s="15">
        <f>IF($F441="","",$F441+$G441)</f>
        <v/>
      </c>
      <c r="I441" s="8" t="n"/>
      <c r="J441" s="8" t="n"/>
      <c r="K441" s="14">
        <f>IF($F441="","",IF($I441="예",ROUND($F441*기본설정!$C$14,0),0))</f>
        <v/>
      </c>
      <c r="L441" s="8" t="n"/>
    </row>
    <row r="442">
      <c r="B442" s="13" t="n"/>
      <c r="C442" s="8" t="n"/>
      <c r="D442" s="8" t="n"/>
      <c r="E442" s="8" t="n"/>
      <c r="F442" s="11" t="n"/>
      <c r="G442" s="14">
        <f>IF($F442="","",IF(기본설정!$C$9="일반과세자",ROUND($F442*기본설정!$C$15,0),0))</f>
        <v/>
      </c>
      <c r="H442" s="15">
        <f>IF($F442="","",$F442+$G442)</f>
        <v/>
      </c>
      <c r="I442" s="8" t="n"/>
      <c r="J442" s="8" t="n"/>
      <c r="K442" s="14">
        <f>IF($F442="","",IF($I442="예",ROUND($F442*기본설정!$C$14,0),0))</f>
        <v/>
      </c>
      <c r="L442" s="8" t="n"/>
    </row>
    <row r="443">
      <c r="B443" s="13" t="n"/>
      <c r="C443" s="8" t="n"/>
      <c r="D443" s="8" t="n"/>
      <c r="E443" s="8" t="n"/>
      <c r="F443" s="11" t="n"/>
      <c r="G443" s="14">
        <f>IF($F443="","",IF(기본설정!$C$9="일반과세자",ROUND($F443*기본설정!$C$15,0),0))</f>
        <v/>
      </c>
      <c r="H443" s="15">
        <f>IF($F443="","",$F443+$G443)</f>
        <v/>
      </c>
      <c r="I443" s="8" t="n"/>
      <c r="J443" s="8" t="n"/>
      <c r="K443" s="14">
        <f>IF($F443="","",IF($I443="예",ROUND($F443*기본설정!$C$14,0),0))</f>
        <v/>
      </c>
      <c r="L443" s="8" t="n"/>
    </row>
    <row r="444">
      <c r="B444" s="13" t="n"/>
      <c r="C444" s="8" t="n"/>
      <c r="D444" s="8" t="n"/>
      <c r="E444" s="8" t="n"/>
      <c r="F444" s="11" t="n"/>
      <c r="G444" s="14">
        <f>IF($F444="","",IF(기본설정!$C$9="일반과세자",ROUND($F444*기본설정!$C$15,0),0))</f>
        <v/>
      </c>
      <c r="H444" s="15">
        <f>IF($F444="","",$F444+$G444)</f>
        <v/>
      </c>
      <c r="I444" s="8" t="n"/>
      <c r="J444" s="8" t="n"/>
      <c r="K444" s="14">
        <f>IF($F444="","",IF($I444="예",ROUND($F444*기본설정!$C$14,0),0))</f>
        <v/>
      </c>
      <c r="L444" s="8" t="n"/>
    </row>
    <row r="445">
      <c r="B445" s="13" t="n"/>
      <c r="C445" s="8" t="n"/>
      <c r="D445" s="8" t="n"/>
      <c r="E445" s="8" t="n"/>
      <c r="F445" s="11" t="n"/>
      <c r="G445" s="14">
        <f>IF($F445="","",IF(기본설정!$C$9="일반과세자",ROUND($F445*기본설정!$C$15,0),0))</f>
        <v/>
      </c>
      <c r="H445" s="15">
        <f>IF($F445="","",$F445+$G445)</f>
        <v/>
      </c>
      <c r="I445" s="8" t="n"/>
      <c r="J445" s="8" t="n"/>
      <c r="K445" s="14">
        <f>IF($F445="","",IF($I445="예",ROUND($F445*기본설정!$C$14,0),0))</f>
        <v/>
      </c>
      <c r="L445" s="8" t="n"/>
    </row>
    <row r="446">
      <c r="B446" s="13" t="n"/>
      <c r="C446" s="8" t="n"/>
      <c r="D446" s="8" t="n"/>
      <c r="E446" s="8" t="n"/>
      <c r="F446" s="11" t="n"/>
      <c r="G446" s="14">
        <f>IF($F446="","",IF(기본설정!$C$9="일반과세자",ROUND($F446*기본설정!$C$15,0),0))</f>
        <v/>
      </c>
      <c r="H446" s="15">
        <f>IF($F446="","",$F446+$G446)</f>
        <v/>
      </c>
      <c r="I446" s="8" t="n"/>
      <c r="J446" s="8" t="n"/>
      <c r="K446" s="14">
        <f>IF($F446="","",IF($I446="예",ROUND($F446*기본설정!$C$14,0),0))</f>
        <v/>
      </c>
      <c r="L446" s="8" t="n"/>
    </row>
    <row r="447">
      <c r="B447" s="13" t="n"/>
      <c r="C447" s="8" t="n"/>
      <c r="D447" s="8" t="n"/>
      <c r="E447" s="8" t="n"/>
      <c r="F447" s="11" t="n"/>
      <c r="G447" s="14">
        <f>IF($F447="","",IF(기본설정!$C$9="일반과세자",ROUND($F447*기본설정!$C$15,0),0))</f>
        <v/>
      </c>
      <c r="H447" s="15">
        <f>IF($F447="","",$F447+$G447)</f>
        <v/>
      </c>
      <c r="I447" s="8" t="n"/>
      <c r="J447" s="8" t="n"/>
      <c r="K447" s="14">
        <f>IF($F447="","",IF($I447="예",ROUND($F447*기본설정!$C$14,0),0))</f>
        <v/>
      </c>
      <c r="L447" s="8" t="n"/>
    </row>
    <row r="448">
      <c r="B448" s="13" t="n"/>
      <c r="C448" s="8" t="n"/>
      <c r="D448" s="8" t="n"/>
      <c r="E448" s="8" t="n"/>
      <c r="F448" s="11" t="n"/>
      <c r="G448" s="14">
        <f>IF($F448="","",IF(기본설정!$C$9="일반과세자",ROUND($F448*기본설정!$C$15,0),0))</f>
        <v/>
      </c>
      <c r="H448" s="15">
        <f>IF($F448="","",$F448+$G448)</f>
        <v/>
      </c>
      <c r="I448" s="8" t="n"/>
      <c r="J448" s="8" t="n"/>
      <c r="K448" s="14">
        <f>IF($F448="","",IF($I448="예",ROUND($F448*기본설정!$C$14,0),0))</f>
        <v/>
      </c>
      <c r="L448" s="8" t="n"/>
    </row>
    <row r="449">
      <c r="B449" s="13" t="n"/>
      <c r="C449" s="8" t="n"/>
      <c r="D449" s="8" t="n"/>
      <c r="E449" s="8" t="n"/>
      <c r="F449" s="11" t="n"/>
      <c r="G449" s="14">
        <f>IF($F449="","",IF(기본설정!$C$9="일반과세자",ROUND($F449*기본설정!$C$15,0),0))</f>
        <v/>
      </c>
      <c r="H449" s="15">
        <f>IF($F449="","",$F449+$G449)</f>
        <v/>
      </c>
      <c r="I449" s="8" t="n"/>
      <c r="J449" s="8" t="n"/>
      <c r="K449" s="14">
        <f>IF($F449="","",IF($I449="예",ROUND($F449*기본설정!$C$14,0),0))</f>
        <v/>
      </c>
      <c r="L449" s="8" t="n"/>
    </row>
    <row r="450">
      <c r="B450" s="13" t="n"/>
      <c r="C450" s="8" t="n"/>
      <c r="D450" s="8" t="n"/>
      <c r="E450" s="8" t="n"/>
      <c r="F450" s="11" t="n"/>
      <c r="G450" s="14">
        <f>IF($F450="","",IF(기본설정!$C$9="일반과세자",ROUND($F450*기본설정!$C$15,0),0))</f>
        <v/>
      </c>
      <c r="H450" s="15">
        <f>IF($F450="","",$F450+$G450)</f>
        <v/>
      </c>
      <c r="I450" s="8" t="n"/>
      <c r="J450" s="8" t="n"/>
      <c r="K450" s="14">
        <f>IF($F450="","",IF($I450="예",ROUND($F450*기본설정!$C$14,0),0))</f>
        <v/>
      </c>
      <c r="L450" s="8" t="n"/>
    </row>
    <row r="451">
      <c r="B451" s="13" t="n"/>
      <c r="C451" s="8" t="n"/>
      <c r="D451" s="8" t="n"/>
      <c r="E451" s="8" t="n"/>
      <c r="F451" s="11" t="n"/>
      <c r="G451" s="14">
        <f>IF($F451="","",IF(기본설정!$C$9="일반과세자",ROUND($F451*기본설정!$C$15,0),0))</f>
        <v/>
      </c>
      <c r="H451" s="15">
        <f>IF($F451="","",$F451+$G451)</f>
        <v/>
      </c>
      <c r="I451" s="8" t="n"/>
      <c r="J451" s="8" t="n"/>
      <c r="K451" s="14">
        <f>IF($F451="","",IF($I451="예",ROUND($F451*기본설정!$C$14,0),0))</f>
        <v/>
      </c>
      <c r="L451" s="8" t="n"/>
    </row>
    <row r="452">
      <c r="B452" s="13" t="n"/>
      <c r="C452" s="8" t="n"/>
      <c r="D452" s="8" t="n"/>
      <c r="E452" s="8" t="n"/>
      <c r="F452" s="11" t="n"/>
      <c r="G452" s="14">
        <f>IF($F452="","",IF(기본설정!$C$9="일반과세자",ROUND($F452*기본설정!$C$15,0),0))</f>
        <v/>
      </c>
      <c r="H452" s="15">
        <f>IF($F452="","",$F452+$G452)</f>
        <v/>
      </c>
      <c r="I452" s="8" t="n"/>
      <c r="J452" s="8" t="n"/>
      <c r="K452" s="14">
        <f>IF($F452="","",IF($I452="예",ROUND($F452*기본설정!$C$14,0),0))</f>
        <v/>
      </c>
      <c r="L452" s="8" t="n"/>
    </row>
    <row r="453">
      <c r="B453" s="13" t="n"/>
      <c r="C453" s="8" t="n"/>
      <c r="D453" s="8" t="n"/>
      <c r="E453" s="8" t="n"/>
      <c r="F453" s="11" t="n"/>
      <c r="G453" s="14">
        <f>IF($F453="","",IF(기본설정!$C$9="일반과세자",ROUND($F453*기본설정!$C$15,0),0))</f>
        <v/>
      </c>
      <c r="H453" s="15">
        <f>IF($F453="","",$F453+$G453)</f>
        <v/>
      </c>
      <c r="I453" s="8" t="n"/>
      <c r="J453" s="8" t="n"/>
      <c r="K453" s="14">
        <f>IF($F453="","",IF($I453="예",ROUND($F453*기본설정!$C$14,0),0))</f>
        <v/>
      </c>
      <c r="L453" s="8" t="n"/>
    </row>
    <row r="454">
      <c r="B454" s="13" t="n"/>
      <c r="C454" s="8" t="n"/>
      <c r="D454" s="8" t="n"/>
      <c r="E454" s="8" t="n"/>
      <c r="F454" s="11" t="n"/>
      <c r="G454" s="14">
        <f>IF($F454="","",IF(기본설정!$C$9="일반과세자",ROUND($F454*기본설정!$C$15,0),0))</f>
        <v/>
      </c>
      <c r="H454" s="15">
        <f>IF($F454="","",$F454+$G454)</f>
        <v/>
      </c>
      <c r="I454" s="8" t="n"/>
      <c r="J454" s="8" t="n"/>
      <c r="K454" s="14">
        <f>IF($F454="","",IF($I454="예",ROUND($F454*기본설정!$C$14,0),0))</f>
        <v/>
      </c>
      <c r="L454" s="8" t="n"/>
    </row>
    <row r="455">
      <c r="B455" s="13" t="n"/>
      <c r="C455" s="8" t="n"/>
      <c r="D455" s="8" t="n"/>
      <c r="E455" s="8" t="n"/>
      <c r="F455" s="11" t="n"/>
      <c r="G455" s="14">
        <f>IF($F455="","",IF(기본설정!$C$9="일반과세자",ROUND($F455*기본설정!$C$15,0),0))</f>
        <v/>
      </c>
      <c r="H455" s="15">
        <f>IF($F455="","",$F455+$G455)</f>
        <v/>
      </c>
      <c r="I455" s="8" t="n"/>
      <c r="J455" s="8" t="n"/>
      <c r="K455" s="14">
        <f>IF($F455="","",IF($I455="예",ROUND($F455*기본설정!$C$14,0),0))</f>
        <v/>
      </c>
      <c r="L455" s="8" t="n"/>
    </row>
    <row r="456">
      <c r="B456" s="13" t="n"/>
      <c r="C456" s="8" t="n"/>
      <c r="D456" s="8" t="n"/>
      <c r="E456" s="8" t="n"/>
      <c r="F456" s="11" t="n"/>
      <c r="G456" s="14">
        <f>IF($F456="","",IF(기본설정!$C$9="일반과세자",ROUND($F456*기본설정!$C$15,0),0))</f>
        <v/>
      </c>
      <c r="H456" s="15">
        <f>IF($F456="","",$F456+$G456)</f>
        <v/>
      </c>
      <c r="I456" s="8" t="n"/>
      <c r="J456" s="8" t="n"/>
      <c r="K456" s="14">
        <f>IF($F456="","",IF($I456="예",ROUND($F456*기본설정!$C$14,0),0))</f>
        <v/>
      </c>
      <c r="L456" s="8" t="n"/>
    </row>
    <row r="457">
      <c r="B457" s="13" t="n"/>
      <c r="C457" s="8" t="n"/>
      <c r="D457" s="8" t="n"/>
      <c r="E457" s="8" t="n"/>
      <c r="F457" s="11" t="n"/>
      <c r="G457" s="14">
        <f>IF($F457="","",IF(기본설정!$C$9="일반과세자",ROUND($F457*기본설정!$C$15,0),0))</f>
        <v/>
      </c>
      <c r="H457" s="15">
        <f>IF($F457="","",$F457+$G457)</f>
        <v/>
      </c>
      <c r="I457" s="8" t="n"/>
      <c r="J457" s="8" t="n"/>
      <c r="K457" s="14">
        <f>IF($F457="","",IF($I457="예",ROUND($F457*기본설정!$C$14,0),0))</f>
        <v/>
      </c>
      <c r="L457" s="8" t="n"/>
    </row>
    <row r="458">
      <c r="B458" s="13" t="n"/>
      <c r="C458" s="8" t="n"/>
      <c r="D458" s="8" t="n"/>
      <c r="E458" s="8" t="n"/>
      <c r="F458" s="11" t="n"/>
      <c r="G458" s="14">
        <f>IF($F458="","",IF(기본설정!$C$9="일반과세자",ROUND($F458*기본설정!$C$15,0),0))</f>
        <v/>
      </c>
      <c r="H458" s="15">
        <f>IF($F458="","",$F458+$G458)</f>
        <v/>
      </c>
      <c r="I458" s="8" t="n"/>
      <c r="J458" s="8" t="n"/>
      <c r="K458" s="14">
        <f>IF($F458="","",IF($I458="예",ROUND($F458*기본설정!$C$14,0),0))</f>
        <v/>
      </c>
      <c r="L458" s="8" t="n"/>
    </row>
    <row r="459">
      <c r="B459" s="13" t="n"/>
      <c r="C459" s="8" t="n"/>
      <c r="D459" s="8" t="n"/>
      <c r="E459" s="8" t="n"/>
      <c r="F459" s="11" t="n"/>
      <c r="G459" s="14">
        <f>IF($F459="","",IF(기본설정!$C$9="일반과세자",ROUND($F459*기본설정!$C$15,0),0))</f>
        <v/>
      </c>
      <c r="H459" s="15">
        <f>IF($F459="","",$F459+$G459)</f>
        <v/>
      </c>
      <c r="I459" s="8" t="n"/>
      <c r="J459" s="8" t="n"/>
      <c r="K459" s="14">
        <f>IF($F459="","",IF($I459="예",ROUND($F459*기본설정!$C$14,0),0))</f>
        <v/>
      </c>
      <c r="L459" s="8" t="n"/>
    </row>
    <row r="460">
      <c r="B460" s="13" t="n"/>
      <c r="C460" s="8" t="n"/>
      <c r="D460" s="8" t="n"/>
      <c r="E460" s="8" t="n"/>
      <c r="F460" s="11" t="n"/>
      <c r="G460" s="14">
        <f>IF($F460="","",IF(기본설정!$C$9="일반과세자",ROUND($F460*기본설정!$C$15,0),0))</f>
        <v/>
      </c>
      <c r="H460" s="15">
        <f>IF($F460="","",$F460+$G460)</f>
        <v/>
      </c>
      <c r="I460" s="8" t="n"/>
      <c r="J460" s="8" t="n"/>
      <c r="K460" s="14">
        <f>IF($F460="","",IF($I460="예",ROUND($F460*기본설정!$C$14,0),0))</f>
        <v/>
      </c>
      <c r="L460" s="8" t="n"/>
    </row>
    <row r="461">
      <c r="B461" s="13" t="n"/>
      <c r="C461" s="8" t="n"/>
      <c r="D461" s="8" t="n"/>
      <c r="E461" s="8" t="n"/>
      <c r="F461" s="11" t="n"/>
      <c r="G461" s="14">
        <f>IF($F461="","",IF(기본설정!$C$9="일반과세자",ROUND($F461*기본설정!$C$15,0),0))</f>
        <v/>
      </c>
      <c r="H461" s="15">
        <f>IF($F461="","",$F461+$G461)</f>
        <v/>
      </c>
      <c r="I461" s="8" t="n"/>
      <c r="J461" s="8" t="n"/>
      <c r="K461" s="14">
        <f>IF($F461="","",IF($I461="예",ROUND($F461*기본설정!$C$14,0),0))</f>
        <v/>
      </c>
      <c r="L461" s="8" t="n"/>
    </row>
    <row r="462">
      <c r="B462" s="13" t="n"/>
      <c r="C462" s="8" t="n"/>
      <c r="D462" s="8" t="n"/>
      <c r="E462" s="8" t="n"/>
      <c r="F462" s="11" t="n"/>
      <c r="G462" s="14">
        <f>IF($F462="","",IF(기본설정!$C$9="일반과세자",ROUND($F462*기본설정!$C$15,0),0))</f>
        <v/>
      </c>
      <c r="H462" s="15">
        <f>IF($F462="","",$F462+$G462)</f>
        <v/>
      </c>
      <c r="I462" s="8" t="n"/>
      <c r="J462" s="8" t="n"/>
      <c r="K462" s="14">
        <f>IF($F462="","",IF($I462="예",ROUND($F462*기본설정!$C$14,0),0))</f>
        <v/>
      </c>
      <c r="L462" s="8" t="n"/>
    </row>
    <row r="463">
      <c r="B463" s="13" t="n"/>
      <c r="C463" s="8" t="n"/>
      <c r="D463" s="8" t="n"/>
      <c r="E463" s="8" t="n"/>
      <c r="F463" s="11" t="n"/>
      <c r="G463" s="14">
        <f>IF($F463="","",IF(기본설정!$C$9="일반과세자",ROUND($F463*기본설정!$C$15,0),0))</f>
        <v/>
      </c>
      <c r="H463" s="15">
        <f>IF($F463="","",$F463+$G463)</f>
        <v/>
      </c>
      <c r="I463" s="8" t="n"/>
      <c r="J463" s="8" t="n"/>
      <c r="K463" s="14">
        <f>IF($F463="","",IF($I463="예",ROUND($F463*기본설정!$C$14,0),0))</f>
        <v/>
      </c>
      <c r="L463" s="8" t="n"/>
    </row>
    <row r="464">
      <c r="B464" s="13" t="n"/>
      <c r="C464" s="8" t="n"/>
      <c r="D464" s="8" t="n"/>
      <c r="E464" s="8" t="n"/>
      <c r="F464" s="11" t="n"/>
      <c r="G464" s="14">
        <f>IF($F464="","",IF(기본설정!$C$9="일반과세자",ROUND($F464*기본설정!$C$15,0),0))</f>
        <v/>
      </c>
      <c r="H464" s="15">
        <f>IF($F464="","",$F464+$G464)</f>
        <v/>
      </c>
      <c r="I464" s="8" t="n"/>
      <c r="J464" s="8" t="n"/>
      <c r="K464" s="14">
        <f>IF($F464="","",IF($I464="예",ROUND($F464*기본설정!$C$14,0),0))</f>
        <v/>
      </c>
      <c r="L464" s="8" t="n"/>
    </row>
    <row r="465">
      <c r="B465" s="13" t="n"/>
      <c r="C465" s="8" t="n"/>
      <c r="D465" s="8" t="n"/>
      <c r="E465" s="8" t="n"/>
      <c r="F465" s="11" t="n"/>
      <c r="G465" s="14">
        <f>IF($F465="","",IF(기본설정!$C$9="일반과세자",ROUND($F465*기본설정!$C$15,0),0))</f>
        <v/>
      </c>
      <c r="H465" s="15">
        <f>IF($F465="","",$F465+$G465)</f>
        <v/>
      </c>
      <c r="I465" s="8" t="n"/>
      <c r="J465" s="8" t="n"/>
      <c r="K465" s="14">
        <f>IF($F465="","",IF($I465="예",ROUND($F465*기본설정!$C$14,0),0))</f>
        <v/>
      </c>
      <c r="L465" s="8" t="n"/>
    </row>
    <row r="466">
      <c r="B466" s="13" t="n"/>
      <c r="C466" s="8" t="n"/>
      <c r="D466" s="8" t="n"/>
      <c r="E466" s="8" t="n"/>
      <c r="F466" s="11" t="n"/>
      <c r="G466" s="14">
        <f>IF($F466="","",IF(기본설정!$C$9="일반과세자",ROUND($F466*기본설정!$C$15,0),0))</f>
        <v/>
      </c>
      <c r="H466" s="15">
        <f>IF($F466="","",$F466+$G466)</f>
        <v/>
      </c>
      <c r="I466" s="8" t="n"/>
      <c r="J466" s="8" t="n"/>
      <c r="K466" s="14">
        <f>IF($F466="","",IF($I466="예",ROUND($F466*기본설정!$C$14,0),0))</f>
        <v/>
      </c>
      <c r="L466" s="8" t="n"/>
    </row>
    <row r="467">
      <c r="B467" s="13" t="n"/>
      <c r="C467" s="8" t="n"/>
      <c r="D467" s="8" t="n"/>
      <c r="E467" s="8" t="n"/>
      <c r="F467" s="11" t="n"/>
      <c r="G467" s="14">
        <f>IF($F467="","",IF(기본설정!$C$9="일반과세자",ROUND($F467*기본설정!$C$15,0),0))</f>
        <v/>
      </c>
      <c r="H467" s="15">
        <f>IF($F467="","",$F467+$G467)</f>
        <v/>
      </c>
      <c r="I467" s="8" t="n"/>
      <c r="J467" s="8" t="n"/>
      <c r="K467" s="14">
        <f>IF($F467="","",IF($I467="예",ROUND($F467*기본설정!$C$14,0),0))</f>
        <v/>
      </c>
      <c r="L467" s="8" t="n"/>
    </row>
    <row r="468">
      <c r="B468" s="13" t="n"/>
      <c r="C468" s="8" t="n"/>
      <c r="D468" s="8" t="n"/>
      <c r="E468" s="8" t="n"/>
      <c r="F468" s="11" t="n"/>
      <c r="G468" s="14">
        <f>IF($F468="","",IF(기본설정!$C$9="일반과세자",ROUND($F468*기본설정!$C$15,0),0))</f>
        <v/>
      </c>
      <c r="H468" s="15">
        <f>IF($F468="","",$F468+$G468)</f>
        <v/>
      </c>
      <c r="I468" s="8" t="n"/>
      <c r="J468" s="8" t="n"/>
      <c r="K468" s="14">
        <f>IF($F468="","",IF($I468="예",ROUND($F468*기본설정!$C$14,0),0))</f>
        <v/>
      </c>
      <c r="L468" s="8" t="n"/>
    </row>
    <row r="469">
      <c r="B469" s="13" t="n"/>
      <c r="C469" s="8" t="n"/>
      <c r="D469" s="8" t="n"/>
      <c r="E469" s="8" t="n"/>
      <c r="F469" s="11" t="n"/>
      <c r="G469" s="14">
        <f>IF($F469="","",IF(기본설정!$C$9="일반과세자",ROUND($F469*기본설정!$C$15,0),0))</f>
        <v/>
      </c>
      <c r="H469" s="15">
        <f>IF($F469="","",$F469+$G469)</f>
        <v/>
      </c>
      <c r="I469" s="8" t="n"/>
      <c r="J469" s="8" t="n"/>
      <c r="K469" s="14">
        <f>IF($F469="","",IF($I469="예",ROUND($F469*기본설정!$C$14,0),0))</f>
        <v/>
      </c>
      <c r="L469" s="8" t="n"/>
    </row>
    <row r="470">
      <c r="B470" s="13" t="n"/>
      <c r="C470" s="8" t="n"/>
      <c r="D470" s="8" t="n"/>
      <c r="E470" s="8" t="n"/>
      <c r="F470" s="11" t="n"/>
      <c r="G470" s="14">
        <f>IF($F470="","",IF(기본설정!$C$9="일반과세자",ROUND($F470*기본설정!$C$15,0),0))</f>
        <v/>
      </c>
      <c r="H470" s="15">
        <f>IF($F470="","",$F470+$G470)</f>
        <v/>
      </c>
      <c r="I470" s="8" t="n"/>
      <c r="J470" s="8" t="n"/>
      <c r="K470" s="14">
        <f>IF($F470="","",IF($I470="예",ROUND($F470*기본설정!$C$14,0),0))</f>
        <v/>
      </c>
      <c r="L470" s="8" t="n"/>
    </row>
    <row r="471">
      <c r="B471" s="13" t="n"/>
      <c r="C471" s="8" t="n"/>
      <c r="D471" s="8" t="n"/>
      <c r="E471" s="8" t="n"/>
      <c r="F471" s="11" t="n"/>
      <c r="G471" s="14">
        <f>IF($F471="","",IF(기본설정!$C$9="일반과세자",ROUND($F471*기본설정!$C$15,0),0))</f>
        <v/>
      </c>
      <c r="H471" s="15">
        <f>IF($F471="","",$F471+$G471)</f>
        <v/>
      </c>
      <c r="I471" s="8" t="n"/>
      <c r="J471" s="8" t="n"/>
      <c r="K471" s="14">
        <f>IF($F471="","",IF($I471="예",ROUND($F471*기본설정!$C$14,0),0))</f>
        <v/>
      </c>
      <c r="L471" s="8" t="n"/>
    </row>
    <row r="472">
      <c r="B472" s="13" t="n"/>
      <c r="C472" s="8" t="n"/>
      <c r="D472" s="8" t="n"/>
      <c r="E472" s="8" t="n"/>
      <c r="F472" s="11" t="n"/>
      <c r="G472" s="14">
        <f>IF($F472="","",IF(기본설정!$C$9="일반과세자",ROUND($F472*기본설정!$C$15,0),0))</f>
        <v/>
      </c>
      <c r="H472" s="15">
        <f>IF($F472="","",$F472+$G472)</f>
        <v/>
      </c>
      <c r="I472" s="8" t="n"/>
      <c r="J472" s="8" t="n"/>
      <c r="K472" s="14">
        <f>IF($F472="","",IF($I472="예",ROUND($F472*기본설정!$C$14,0),0))</f>
        <v/>
      </c>
      <c r="L472" s="8" t="n"/>
    </row>
    <row r="473">
      <c r="B473" s="13" t="n"/>
      <c r="C473" s="8" t="n"/>
      <c r="D473" s="8" t="n"/>
      <c r="E473" s="8" t="n"/>
      <c r="F473" s="11" t="n"/>
      <c r="G473" s="14">
        <f>IF($F473="","",IF(기본설정!$C$9="일반과세자",ROUND($F473*기본설정!$C$15,0),0))</f>
        <v/>
      </c>
      <c r="H473" s="15">
        <f>IF($F473="","",$F473+$G473)</f>
        <v/>
      </c>
      <c r="I473" s="8" t="n"/>
      <c r="J473" s="8" t="n"/>
      <c r="K473" s="14">
        <f>IF($F473="","",IF($I473="예",ROUND($F473*기본설정!$C$14,0),0))</f>
        <v/>
      </c>
      <c r="L473" s="8" t="n"/>
    </row>
    <row r="474">
      <c r="B474" s="13" t="n"/>
      <c r="C474" s="8" t="n"/>
      <c r="D474" s="8" t="n"/>
      <c r="E474" s="8" t="n"/>
      <c r="F474" s="11" t="n"/>
      <c r="G474" s="14">
        <f>IF($F474="","",IF(기본설정!$C$9="일반과세자",ROUND($F474*기본설정!$C$15,0),0))</f>
        <v/>
      </c>
      <c r="H474" s="15">
        <f>IF($F474="","",$F474+$G474)</f>
        <v/>
      </c>
      <c r="I474" s="8" t="n"/>
      <c r="J474" s="8" t="n"/>
      <c r="K474" s="14">
        <f>IF($F474="","",IF($I474="예",ROUND($F474*기본설정!$C$14,0),0))</f>
        <v/>
      </c>
      <c r="L474" s="8" t="n"/>
    </row>
    <row r="475">
      <c r="B475" s="13" t="n"/>
      <c r="C475" s="8" t="n"/>
      <c r="D475" s="8" t="n"/>
      <c r="E475" s="8" t="n"/>
      <c r="F475" s="11" t="n"/>
      <c r="G475" s="14">
        <f>IF($F475="","",IF(기본설정!$C$9="일반과세자",ROUND($F475*기본설정!$C$15,0),0))</f>
        <v/>
      </c>
      <c r="H475" s="15">
        <f>IF($F475="","",$F475+$G475)</f>
        <v/>
      </c>
      <c r="I475" s="8" t="n"/>
      <c r="J475" s="8" t="n"/>
      <c r="K475" s="14">
        <f>IF($F475="","",IF($I475="예",ROUND($F475*기본설정!$C$14,0),0))</f>
        <v/>
      </c>
      <c r="L475" s="8" t="n"/>
    </row>
    <row r="476">
      <c r="B476" s="13" t="n"/>
      <c r="C476" s="8" t="n"/>
      <c r="D476" s="8" t="n"/>
      <c r="E476" s="8" t="n"/>
      <c r="F476" s="11" t="n"/>
      <c r="G476" s="14">
        <f>IF($F476="","",IF(기본설정!$C$9="일반과세자",ROUND($F476*기본설정!$C$15,0),0))</f>
        <v/>
      </c>
      <c r="H476" s="15">
        <f>IF($F476="","",$F476+$G476)</f>
        <v/>
      </c>
      <c r="I476" s="8" t="n"/>
      <c r="J476" s="8" t="n"/>
      <c r="K476" s="14">
        <f>IF($F476="","",IF($I476="예",ROUND($F476*기본설정!$C$14,0),0))</f>
        <v/>
      </c>
      <c r="L476" s="8" t="n"/>
    </row>
    <row r="477">
      <c r="B477" s="13" t="n"/>
      <c r="C477" s="8" t="n"/>
      <c r="D477" s="8" t="n"/>
      <c r="E477" s="8" t="n"/>
      <c r="F477" s="11" t="n"/>
      <c r="G477" s="14">
        <f>IF($F477="","",IF(기본설정!$C$9="일반과세자",ROUND($F477*기본설정!$C$15,0),0))</f>
        <v/>
      </c>
      <c r="H477" s="15">
        <f>IF($F477="","",$F477+$G477)</f>
        <v/>
      </c>
      <c r="I477" s="8" t="n"/>
      <c r="J477" s="8" t="n"/>
      <c r="K477" s="14">
        <f>IF($F477="","",IF($I477="예",ROUND($F477*기본설정!$C$14,0),0))</f>
        <v/>
      </c>
      <c r="L477" s="8" t="n"/>
    </row>
    <row r="478">
      <c r="B478" s="13" t="n"/>
      <c r="C478" s="8" t="n"/>
      <c r="D478" s="8" t="n"/>
      <c r="E478" s="8" t="n"/>
      <c r="F478" s="11" t="n"/>
      <c r="G478" s="14">
        <f>IF($F478="","",IF(기본설정!$C$9="일반과세자",ROUND($F478*기본설정!$C$15,0),0))</f>
        <v/>
      </c>
      <c r="H478" s="15">
        <f>IF($F478="","",$F478+$G478)</f>
        <v/>
      </c>
      <c r="I478" s="8" t="n"/>
      <c r="J478" s="8" t="n"/>
      <c r="K478" s="14">
        <f>IF($F478="","",IF($I478="예",ROUND($F478*기본설정!$C$14,0),0))</f>
        <v/>
      </c>
      <c r="L478" s="8" t="n"/>
    </row>
    <row r="479">
      <c r="B479" s="13" t="n"/>
      <c r="C479" s="8" t="n"/>
      <c r="D479" s="8" t="n"/>
      <c r="E479" s="8" t="n"/>
      <c r="F479" s="11" t="n"/>
      <c r="G479" s="14">
        <f>IF($F479="","",IF(기본설정!$C$9="일반과세자",ROUND($F479*기본설정!$C$15,0),0))</f>
        <v/>
      </c>
      <c r="H479" s="15">
        <f>IF($F479="","",$F479+$G479)</f>
        <v/>
      </c>
      <c r="I479" s="8" t="n"/>
      <c r="J479" s="8" t="n"/>
      <c r="K479" s="14">
        <f>IF($F479="","",IF($I479="예",ROUND($F479*기본설정!$C$14,0),0))</f>
        <v/>
      </c>
      <c r="L479" s="8" t="n"/>
    </row>
    <row r="480">
      <c r="B480" s="13" t="n"/>
      <c r="C480" s="8" t="n"/>
      <c r="D480" s="8" t="n"/>
      <c r="E480" s="8" t="n"/>
      <c r="F480" s="11" t="n"/>
      <c r="G480" s="14">
        <f>IF($F480="","",IF(기본설정!$C$9="일반과세자",ROUND($F480*기본설정!$C$15,0),0))</f>
        <v/>
      </c>
      <c r="H480" s="15">
        <f>IF($F480="","",$F480+$G480)</f>
        <v/>
      </c>
      <c r="I480" s="8" t="n"/>
      <c r="J480" s="8" t="n"/>
      <c r="K480" s="14">
        <f>IF($F480="","",IF($I480="예",ROUND($F480*기본설정!$C$14,0),0))</f>
        <v/>
      </c>
      <c r="L480" s="8" t="n"/>
    </row>
    <row r="481">
      <c r="B481" s="13" t="n"/>
      <c r="C481" s="8" t="n"/>
      <c r="D481" s="8" t="n"/>
      <c r="E481" s="8" t="n"/>
      <c r="F481" s="11" t="n"/>
      <c r="G481" s="14">
        <f>IF($F481="","",IF(기본설정!$C$9="일반과세자",ROUND($F481*기본설정!$C$15,0),0))</f>
        <v/>
      </c>
      <c r="H481" s="15">
        <f>IF($F481="","",$F481+$G481)</f>
        <v/>
      </c>
      <c r="I481" s="8" t="n"/>
      <c r="J481" s="8" t="n"/>
      <c r="K481" s="14">
        <f>IF($F481="","",IF($I481="예",ROUND($F481*기본설정!$C$14,0),0))</f>
        <v/>
      </c>
      <c r="L481" s="8" t="n"/>
    </row>
    <row r="482">
      <c r="B482" s="13" t="n"/>
      <c r="C482" s="8" t="n"/>
      <c r="D482" s="8" t="n"/>
      <c r="E482" s="8" t="n"/>
      <c r="F482" s="11" t="n"/>
      <c r="G482" s="14">
        <f>IF($F482="","",IF(기본설정!$C$9="일반과세자",ROUND($F482*기본설정!$C$15,0),0))</f>
        <v/>
      </c>
      <c r="H482" s="15">
        <f>IF($F482="","",$F482+$G482)</f>
        <v/>
      </c>
      <c r="I482" s="8" t="n"/>
      <c r="J482" s="8" t="n"/>
      <c r="K482" s="14">
        <f>IF($F482="","",IF($I482="예",ROUND($F482*기본설정!$C$14,0),0))</f>
        <v/>
      </c>
      <c r="L482" s="8" t="n"/>
    </row>
    <row r="483">
      <c r="B483" s="13" t="n"/>
      <c r="C483" s="8" t="n"/>
      <c r="D483" s="8" t="n"/>
      <c r="E483" s="8" t="n"/>
      <c r="F483" s="11" t="n"/>
      <c r="G483" s="14">
        <f>IF($F483="","",IF(기본설정!$C$9="일반과세자",ROUND($F483*기본설정!$C$15,0),0))</f>
        <v/>
      </c>
      <c r="H483" s="15">
        <f>IF($F483="","",$F483+$G483)</f>
        <v/>
      </c>
      <c r="I483" s="8" t="n"/>
      <c r="J483" s="8" t="n"/>
      <c r="K483" s="14">
        <f>IF($F483="","",IF($I483="예",ROUND($F483*기본설정!$C$14,0),0))</f>
        <v/>
      </c>
      <c r="L483" s="8" t="n"/>
    </row>
    <row r="484">
      <c r="B484" s="13" t="n"/>
      <c r="C484" s="8" t="n"/>
      <c r="D484" s="8" t="n"/>
      <c r="E484" s="8" t="n"/>
      <c r="F484" s="11" t="n"/>
      <c r="G484" s="14">
        <f>IF($F484="","",IF(기본설정!$C$9="일반과세자",ROUND($F484*기본설정!$C$15,0),0))</f>
        <v/>
      </c>
      <c r="H484" s="15">
        <f>IF($F484="","",$F484+$G484)</f>
        <v/>
      </c>
      <c r="I484" s="8" t="n"/>
      <c r="J484" s="8" t="n"/>
      <c r="K484" s="14">
        <f>IF($F484="","",IF($I484="예",ROUND($F484*기본설정!$C$14,0),0))</f>
        <v/>
      </c>
      <c r="L484" s="8" t="n"/>
    </row>
    <row r="485">
      <c r="B485" s="13" t="n"/>
      <c r="C485" s="8" t="n"/>
      <c r="D485" s="8" t="n"/>
      <c r="E485" s="8" t="n"/>
      <c r="F485" s="11" t="n"/>
      <c r="G485" s="14">
        <f>IF($F485="","",IF(기본설정!$C$9="일반과세자",ROUND($F485*기본설정!$C$15,0),0))</f>
        <v/>
      </c>
      <c r="H485" s="15">
        <f>IF($F485="","",$F485+$G485)</f>
        <v/>
      </c>
      <c r="I485" s="8" t="n"/>
      <c r="J485" s="8" t="n"/>
      <c r="K485" s="14">
        <f>IF($F485="","",IF($I485="예",ROUND($F485*기본설정!$C$14,0),0))</f>
        <v/>
      </c>
      <c r="L485" s="8" t="n"/>
    </row>
    <row r="486">
      <c r="B486" s="13" t="n"/>
      <c r="C486" s="8" t="n"/>
      <c r="D486" s="8" t="n"/>
      <c r="E486" s="8" t="n"/>
      <c r="F486" s="11" t="n"/>
      <c r="G486" s="14">
        <f>IF($F486="","",IF(기본설정!$C$9="일반과세자",ROUND($F486*기본설정!$C$15,0),0))</f>
        <v/>
      </c>
      <c r="H486" s="15">
        <f>IF($F486="","",$F486+$G486)</f>
        <v/>
      </c>
      <c r="I486" s="8" t="n"/>
      <c r="J486" s="8" t="n"/>
      <c r="K486" s="14">
        <f>IF($F486="","",IF($I486="예",ROUND($F486*기본설정!$C$14,0),0))</f>
        <v/>
      </c>
      <c r="L486" s="8" t="n"/>
    </row>
    <row r="487">
      <c r="B487" s="13" t="n"/>
      <c r="C487" s="8" t="n"/>
      <c r="D487" s="8" t="n"/>
      <c r="E487" s="8" t="n"/>
      <c r="F487" s="11" t="n"/>
      <c r="G487" s="14">
        <f>IF($F487="","",IF(기본설정!$C$9="일반과세자",ROUND($F487*기본설정!$C$15,0),0))</f>
        <v/>
      </c>
      <c r="H487" s="15">
        <f>IF($F487="","",$F487+$G487)</f>
        <v/>
      </c>
      <c r="I487" s="8" t="n"/>
      <c r="J487" s="8" t="n"/>
      <c r="K487" s="14">
        <f>IF($F487="","",IF($I487="예",ROUND($F487*기본설정!$C$14,0),0))</f>
        <v/>
      </c>
      <c r="L487" s="8" t="n"/>
    </row>
    <row r="488">
      <c r="B488" s="13" t="n"/>
      <c r="C488" s="8" t="n"/>
      <c r="D488" s="8" t="n"/>
      <c r="E488" s="8" t="n"/>
      <c r="F488" s="11" t="n"/>
      <c r="G488" s="14">
        <f>IF($F488="","",IF(기본설정!$C$9="일반과세자",ROUND($F488*기본설정!$C$15,0),0))</f>
        <v/>
      </c>
      <c r="H488" s="15">
        <f>IF($F488="","",$F488+$G488)</f>
        <v/>
      </c>
      <c r="I488" s="8" t="n"/>
      <c r="J488" s="8" t="n"/>
      <c r="K488" s="14">
        <f>IF($F488="","",IF($I488="예",ROUND($F488*기본설정!$C$14,0),0))</f>
        <v/>
      </c>
      <c r="L488" s="8" t="n"/>
    </row>
    <row r="489">
      <c r="B489" s="13" t="n"/>
      <c r="C489" s="8" t="n"/>
      <c r="D489" s="8" t="n"/>
      <c r="E489" s="8" t="n"/>
      <c r="F489" s="11" t="n"/>
      <c r="G489" s="14">
        <f>IF($F489="","",IF(기본설정!$C$9="일반과세자",ROUND($F489*기본설정!$C$15,0),0))</f>
        <v/>
      </c>
      <c r="H489" s="15">
        <f>IF($F489="","",$F489+$G489)</f>
        <v/>
      </c>
      <c r="I489" s="8" t="n"/>
      <c r="J489" s="8" t="n"/>
      <c r="K489" s="14">
        <f>IF($F489="","",IF($I489="예",ROUND($F489*기본설정!$C$14,0),0))</f>
        <v/>
      </c>
      <c r="L489" s="8" t="n"/>
    </row>
    <row r="490">
      <c r="B490" s="13" t="n"/>
      <c r="C490" s="8" t="n"/>
      <c r="D490" s="8" t="n"/>
      <c r="E490" s="8" t="n"/>
      <c r="F490" s="11" t="n"/>
      <c r="G490" s="14">
        <f>IF($F490="","",IF(기본설정!$C$9="일반과세자",ROUND($F490*기본설정!$C$15,0),0))</f>
        <v/>
      </c>
      <c r="H490" s="15">
        <f>IF($F490="","",$F490+$G490)</f>
        <v/>
      </c>
      <c r="I490" s="8" t="n"/>
      <c r="J490" s="8" t="n"/>
      <c r="K490" s="14">
        <f>IF($F490="","",IF($I490="예",ROUND($F490*기본설정!$C$14,0),0))</f>
        <v/>
      </c>
      <c r="L490" s="8" t="n"/>
    </row>
    <row r="491">
      <c r="B491" s="13" t="n"/>
      <c r="C491" s="8" t="n"/>
      <c r="D491" s="8" t="n"/>
      <c r="E491" s="8" t="n"/>
      <c r="F491" s="11" t="n"/>
      <c r="G491" s="14">
        <f>IF($F491="","",IF(기본설정!$C$9="일반과세자",ROUND($F491*기본설정!$C$15,0),0))</f>
        <v/>
      </c>
      <c r="H491" s="15">
        <f>IF($F491="","",$F491+$G491)</f>
        <v/>
      </c>
      <c r="I491" s="8" t="n"/>
      <c r="J491" s="8" t="n"/>
      <c r="K491" s="14">
        <f>IF($F491="","",IF($I491="예",ROUND($F491*기본설정!$C$14,0),0))</f>
        <v/>
      </c>
      <c r="L491" s="8" t="n"/>
    </row>
    <row r="492">
      <c r="B492" s="13" t="n"/>
      <c r="C492" s="8" t="n"/>
      <c r="D492" s="8" t="n"/>
      <c r="E492" s="8" t="n"/>
      <c r="F492" s="11" t="n"/>
      <c r="G492" s="14">
        <f>IF($F492="","",IF(기본설정!$C$9="일반과세자",ROUND($F492*기본설정!$C$15,0),0))</f>
        <v/>
      </c>
      <c r="H492" s="15">
        <f>IF($F492="","",$F492+$G492)</f>
        <v/>
      </c>
      <c r="I492" s="8" t="n"/>
      <c r="J492" s="8" t="n"/>
      <c r="K492" s="14">
        <f>IF($F492="","",IF($I492="예",ROUND($F492*기본설정!$C$14,0),0))</f>
        <v/>
      </c>
      <c r="L492" s="8" t="n"/>
    </row>
    <row r="493">
      <c r="B493" s="13" t="n"/>
      <c r="C493" s="8" t="n"/>
      <c r="D493" s="8" t="n"/>
      <c r="E493" s="8" t="n"/>
      <c r="F493" s="11" t="n"/>
      <c r="G493" s="14">
        <f>IF($F493="","",IF(기본설정!$C$9="일반과세자",ROUND($F493*기본설정!$C$15,0),0))</f>
        <v/>
      </c>
      <c r="H493" s="15">
        <f>IF($F493="","",$F493+$G493)</f>
        <v/>
      </c>
      <c r="I493" s="8" t="n"/>
      <c r="J493" s="8" t="n"/>
      <c r="K493" s="14">
        <f>IF($F493="","",IF($I493="예",ROUND($F493*기본설정!$C$14,0),0))</f>
        <v/>
      </c>
      <c r="L493" s="8" t="n"/>
    </row>
    <row r="494">
      <c r="B494" s="13" t="n"/>
      <c r="C494" s="8" t="n"/>
      <c r="D494" s="8" t="n"/>
      <c r="E494" s="8" t="n"/>
      <c r="F494" s="11" t="n"/>
      <c r="G494" s="14">
        <f>IF($F494="","",IF(기본설정!$C$9="일반과세자",ROUND($F494*기본설정!$C$15,0),0))</f>
        <v/>
      </c>
      <c r="H494" s="15">
        <f>IF($F494="","",$F494+$G494)</f>
        <v/>
      </c>
      <c r="I494" s="8" t="n"/>
      <c r="J494" s="8" t="n"/>
      <c r="K494" s="14">
        <f>IF($F494="","",IF($I494="예",ROUND($F494*기본설정!$C$14,0),0))</f>
        <v/>
      </c>
      <c r="L494" s="8" t="n"/>
    </row>
    <row r="495">
      <c r="B495" s="13" t="n"/>
      <c r="C495" s="8" t="n"/>
      <c r="D495" s="8" t="n"/>
      <c r="E495" s="8" t="n"/>
      <c r="F495" s="11" t="n"/>
      <c r="G495" s="14">
        <f>IF($F495="","",IF(기본설정!$C$9="일반과세자",ROUND($F495*기본설정!$C$15,0),0))</f>
        <v/>
      </c>
      <c r="H495" s="15">
        <f>IF($F495="","",$F495+$G495)</f>
        <v/>
      </c>
      <c r="I495" s="8" t="n"/>
      <c r="J495" s="8" t="n"/>
      <c r="K495" s="14">
        <f>IF($F495="","",IF($I495="예",ROUND($F495*기본설정!$C$14,0),0))</f>
        <v/>
      </c>
      <c r="L495" s="8" t="n"/>
    </row>
    <row r="496">
      <c r="B496" s="13" t="n"/>
      <c r="C496" s="8" t="n"/>
      <c r="D496" s="8" t="n"/>
      <c r="E496" s="8" t="n"/>
      <c r="F496" s="11" t="n"/>
      <c r="G496" s="14">
        <f>IF($F496="","",IF(기본설정!$C$9="일반과세자",ROUND($F496*기본설정!$C$15,0),0))</f>
        <v/>
      </c>
      <c r="H496" s="15">
        <f>IF($F496="","",$F496+$G496)</f>
        <v/>
      </c>
      <c r="I496" s="8" t="n"/>
      <c r="J496" s="8" t="n"/>
      <c r="K496" s="14">
        <f>IF($F496="","",IF($I496="예",ROUND($F496*기본설정!$C$14,0),0))</f>
        <v/>
      </c>
      <c r="L496" s="8" t="n"/>
    </row>
    <row r="497">
      <c r="B497" s="13" t="n"/>
      <c r="C497" s="8" t="n"/>
      <c r="D497" s="8" t="n"/>
      <c r="E497" s="8" t="n"/>
      <c r="F497" s="11" t="n"/>
      <c r="G497" s="14">
        <f>IF($F497="","",IF(기본설정!$C$9="일반과세자",ROUND($F497*기본설정!$C$15,0),0))</f>
        <v/>
      </c>
      <c r="H497" s="15">
        <f>IF($F497="","",$F497+$G497)</f>
        <v/>
      </c>
      <c r="I497" s="8" t="n"/>
      <c r="J497" s="8" t="n"/>
      <c r="K497" s="14">
        <f>IF($F497="","",IF($I497="예",ROUND($F497*기본설정!$C$14,0),0))</f>
        <v/>
      </c>
      <c r="L497" s="8" t="n"/>
    </row>
    <row r="498">
      <c r="B498" s="13" t="n"/>
      <c r="C498" s="8" t="n"/>
      <c r="D498" s="8" t="n"/>
      <c r="E498" s="8" t="n"/>
      <c r="F498" s="11" t="n"/>
      <c r="G498" s="14">
        <f>IF($F498="","",IF(기본설정!$C$9="일반과세자",ROUND($F498*기본설정!$C$15,0),0))</f>
        <v/>
      </c>
      <c r="H498" s="15">
        <f>IF($F498="","",$F498+$G498)</f>
        <v/>
      </c>
      <c r="I498" s="8" t="n"/>
      <c r="J498" s="8" t="n"/>
      <c r="K498" s="14">
        <f>IF($F498="","",IF($I498="예",ROUND($F498*기본설정!$C$14,0),0))</f>
        <v/>
      </c>
      <c r="L498" s="8" t="n"/>
    </row>
    <row r="499">
      <c r="B499" s="13" t="n"/>
      <c r="C499" s="8" t="n"/>
      <c r="D499" s="8" t="n"/>
      <c r="E499" s="8" t="n"/>
      <c r="F499" s="11" t="n"/>
      <c r="G499" s="14">
        <f>IF($F499="","",IF(기본설정!$C$9="일반과세자",ROUND($F499*기본설정!$C$15,0),0))</f>
        <v/>
      </c>
      <c r="H499" s="15">
        <f>IF($F499="","",$F499+$G499)</f>
        <v/>
      </c>
      <c r="I499" s="8" t="n"/>
      <c r="J499" s="8" t="n"/>
      <c r="K499" s="14">
        <f>IF($F499="","",IF($I499="예",ROUND($F499*기본설정!$C$14,0),0))</f>
        <v/>
      </c>
      <c r="L499" s="8" t="n"/>
    </row>
    <row r="500">
      <c r="B500" s="13" t="n"/>
      <c r="C500" s="8" t="n"/>
      <c r="D500" s="8" t="n"/>
      <c r="E500" s="8" t="n"/>
      <c r="F500" s="11" t="n"/>
      <c r="G500" s="14">
        <f>IF($F500="","",IF(기본설정!$C$9="일반과세자",ROUND($F500*기본설정!$C$15,0),0))</f>
        <v/>
      </c>
      <c r="H500" s="15">
        <f>IF($F500="","",$F500+$G500)</f>
        <v/>
      </c>
      <c r="I500" s="8" t="n"/>
      <c r="J500" s="8" t="n"/>
      <c r="K500" s="14">
        <f>IF($F500="","",IF($I500="예",ROUND($F500*기본설정!$C$14,0),0))</f>
        <v/>
      </c>
      <c r="L500" s="8" t="n"/>
    </row>
    <row r="501">
      <c r="B501" s="13" t="n"/>
      <c r="C501" s="8" t="n"/>
      <c r="D501" s="8" t="n"/>
      <c r="E501" s="8" t="n"/>
      <c r="F501" s="11" t="n"/>
      <c r="G501" s="14">
        <f>IF($F501="","",IF(기본설정!$C$9="일반과세자",ROUND($F501*기본설정!$C$15,0),0))</f>
        <v/>
      </c>
      <c r="H501" s="15">
        <f>IF($F501="","",$F501+$G501)</f>
        <v/>
      </c>
      <c r="I501" s="8" t="n"/>
      <c r="J501" s="8" t="n"/>
      <c r="K501" s="14">
        <f>IF($F501="","",IF($I501="예",ROUND($F501*기본설정!$C$14,0),0))</f>
        <v/>
      </c>
      <c r="L501" s="8" t="n"/>
    </row>
    <row r="502">
      <c r="B502" s="13" t="n"/>
      <c r="C502" s="8" t="n"/>
      <c r="D502" s="8" t="n"/>
      <c r="E502" s="8" t="n"/>
      <c r="F502" s="11" t="n"/>
      <c r="G502" s="14">
        <f>IF($F502="","",IF(기본설정!$C$9="일반과세자",ROUND($F502*기본설정!$C$15,0),0))</f>
        <v/>
      </c>
      <c r="H502" s="15">
        <f>IF($F502="","",$F502+$G502)</f>
        <v/>
      </c>
      <c r="I502" s="8" t="n"/>
      <c r="J502" s="8" t="n"/>
      <c r="K502" s="14">
        <f>IF($F502="","",IF($I502="예",ROUND($F502*기본설정!$C$14,0),0))</f>
        <v/>
      </c>
      <c r="L502" s="8" t="n"/>
    </row>
    <row r="503">
      <c r="B503" s="13" t="n"/>
      <c r="C503" s="8" t="n"/>
      <c r="D503" s="8" t="n"/>
      <c r="E503" s="8" t="n"/>
      <c r="F503" s="11" t="n"/>
      <c r="G503" s="14">
        <f>IF($F503="","",IF(기본설정!$C$9="일반과세자",ROUND($F503*기본설정!$C$15,0),0))</f>
        <v/>
      </c>
      <c r="H503" s="15">
        <f>IF($F503="","",$F503+$G503)</f>
        <v/>
      </c>
      <c r="I503" s="8" t="n"/>
      <c r="J503" s="8" t="n"/>
      <c r="K503" s="14">
        <f>IF($F503="","",IF($I503="예",ROUND($F503*기본설정!$C$14,0),0))</f>
        <v/>
      </c>
      <c r="L503" s="8" t="n"/>
    </row>
    <row r="504">
      <c r="B504" s="13" t="n"/>
      <c r="C504" s="8" t="n"/>
      <c r="D504" s="8" t="n"/>
      <c r="E504" s="8" t="n"/>
      <c r="F504" s="11" t="n"/>
      <c r="G504" s="14">
        <f>IF($F504="","",IF(기본설정!$C$9="일반과세자",ROUND($F504*기본설정!$C$15,0),0))</f>
        <v/>
      </c>
      <c r="H504" s="15">
        <f>IF($F504="","",$F504+$G504)</f>
        <v/>
      </c>
      <c r="I504" s="8" t="n"/>
      <c r="J504" s="8" t="n"/>
      <c r="K504" s="14">
        <f>IF($F504="","",IF($I504="예",ROUND($F504*기본설정!$C$14,0),0))</f>
        <v/>
      </c>
      <c r="L504" s="8" t="n"/>
    </row>
    <row r="505">
      <c r="B505" s="13" t="n"/>
      <c r="C505" s="8" t="n"/>
      <c r="D505" s="8" t="n"/>
      <c r="E505" s="8" t="n"/>
      <c r="F505" s="11" t="n"/>
      <c r="G505" s="14">
        <f>IF($F505="","",IF(기본설정!$C$9="일반과세자",ROUND($F505*기본설정!$C$15,0),0))</f>
        <v/>
      </c>
      <c r="H505" s="15">
        <f>IF($F505="","",$F505+$G505)</f>
        <v/>
      </c>
      <c r="I505" s="8" t="n"/>
      <c r="J505" s="8" t="n"/>
      <c r="K505" s="14">
        <f>IF($F505="","",IF($I505="예",ROUND($F505*기본설정!$C$14,0),0))</f>
        <v/>
      </c>
      <c r="L505" s="8" t="n"/>
    </row>
    <row r="506">
      <c r="B506" s="13" t="n"/>
      <c r="C506" s="8" t="n"/>
      <c r="D506" s="8" t="n"/>
      <c r="E506" s="8" t="n"/>
      <c r="F506" s="11" t="n"/>
      <c r="G506" s="14">
        <f>IF($F506="","",IF(기본설정!$C$9="일반과세자",ROUND($F506*기본설정!$C$15,0),0))</f>
        <v/>
      </c>
      <c r="H506" s="15">
        <f>IF($F506="","",$F506+$G506)</f>
        <v/>
      </c>
      <c r="I506" s="8" t="n"/>
      <c r="J506" s="8" t="n"/>
      <c r="K506" s="14">
        <f>IF($F506="","",IF($I506="예",ROUND($F506*기본설정!$C$14,0),0))</f>
        <v/>
      </c>
      <c r="L506" s="8" t="n"/>
    </row>
  </sheetData>
  <dataValidations count="2">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showDropDown="0" showInputMessage="0" showErrorMessage="0" allowBlank="1" type="list">
      <formula1>=기본설정!$F$7:$F$12</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showDropDown="0" showInputMessage="0" showErrorMessage="0" allowBlank="1" type="list">
      <formula1>"예,아니오"</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50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22" customWidth="1" min="3" max="3"/>
    <col width="18" customWidth="1" min="4" max="4"/>
    <col width="14" customWidth="1" min="5" max="5"/>
    <col width="13" customWidth="1" min="6" max="6"/>
    <col width="11" customWidth="1" min="7" max="7"/>
    <col width="13" customWidth="1" min="8" max="8"/>
    <col width="12" customWidth="1" min="9" max="9"/>
    <col width="12" customWidth="1" min="10" max="10"/>
    <col width="20" customWidth="1" min="11" max="11"/>
  </cols>
  <sheetData>
    <row r="2" ht="28" customHeight="1">
      <c r="B2" s="1" t="inlineStr">
        <is>
          <t>비용</t>
        </is>
      </c>
    </row>
    <row r="3">
      <c r="B3" s="2" t="inlineStr">
        <is>
          <t>쓴 돈을 기록합니다. 경비 인정 여부를 꼭 표시하세요.</t>
        </is>
      </c>
    </row>
    <row r="4" ht="8" customHeight="1"/>
    <row r="6" ht="26" customHeight="1">
      <c r="B6" s="12" t="inlineStr">
        <is>
          <t>날짜</t>
        </is>
      </c>
      <c r="C6" s="12" t="inlineStr">
        <is>
          <t>거래처</t>
        </is>
      </c>
      <c r="D6" s="12" t="inlineStr">
        <is>
          <t>내용</t>
        </is>
      </c>
      <c r="E6" s="12" t="inlineStr">
        <is>
          <t>카테고리</t>
        </is>
      </c>
      <c r="F6" s="12" t="inlineStr">
        <is>
          <t>금액(부가세포함)</t>
        </is>
      </c>
      <c r="G6" s="12" t="inlineStr">
        <is>
          <t>공급가액</t>
        </is>
      </c>
      <c r="H6" s="12" t="inlineStr">
        <is>
          <t>매입세액</t>
        </is>
      </c>
      <c r="I6" s="12" t="inlineStr">
        <is>
          <t>경비인정</t>
        </is>
      </c>
      <c r="J6" s="12" t="inlineStr">
        <is>
          <t>결제수단</t>
        </is>
      </c>
      <c r="K6" s="12" t="inlineStr">
        <is>
          <t>메모</t>
        </is>
      </c>
    </row>
    <row r="7">
      <c r="B7" s="13" t="n">
        <v>46027</v>
      </c>
      <c r="C7" s="8" t="inlineStr">
        <is>
          <t>건물주</t>
        </is>
      </c>
      <c r="D7" s="8" t="inlineStr">
        <is>
          <t>1월 임차료</t>
        </is>
      </c>
      <c r="E7" s="8" t="inlineStr">
        <is>
          <t>임차료</t>
        </is>
      </c>
      <c r="F7" s="11" t="n">
        <v>800000</v>
      </c>
      <c r="G7" s="14">
        <f>IF($F7="","",ROUND($F7/1.1,0))</f>
        <v/>
      </c>
      <c r="H7" s="14">
        <f>IF($F7="","",IF(기본설정!$C$9="일반과세자",$F7-$G7,0))</f>
        <v/>
      </c>
      <c r="I7" s="8" t="inlineStr">
        <is>
          <t>예</t>
        </is>
      </c>
      <c r="J7" s="8" t="inlineStr">
        <is>
          <t>계좌이체</t>
        </is>
      </c>
    </row>
    <row r="8">
      <c r="B8" s="13" t="n">
        <v>46034</v>
      </c>
      <c r="C8" s="8" t="inlineStr">
        <is>
          <t>통신사</t>
        </is>
      </c>
      <c r="D8" s="8" t="inlineStr">
        <is>
          <t>인터넷</t>
        </is>
      </c>
      <c r="E8" s="8" t="inlineStr">
        <is>
          <t>통신비</t>
        </is>
      </c>
      <c r="F8" s="11" t="n">
        <v>44000</v>
      </c>
      <c r="G8" s="14">
        <f>IF($F8="","",ROUND($F8/1.1,0))</f>
        <v/>
      </c>
      <c r="H8" s="14">
        <f>IF($F8="","",IF(기본설정!$C$9="일반과세자",$F8-$G8,0))</f>
        <v/>
      </c>
      <c r="I8" s="8" t="inlineStr">
        <is>
          <t>예</t>
        </is>
      </c>
      <c r="J8" s="8" t="inlineStr">
        <is>
          <t>카드</t>
        </is>
      </c>
    </row>
    <row r="9">
      <c r="B9" s="13" t="n"/>
      <c r="C9" s="8" t="n"/>
      <c r="D9" s="8" t="n"/>
      <c r="E9" s="8" t="n"/>
      <c r="F9" s="11" t="n"/>
      <c r="G9" s="14">
        <f>IF($F9="","",ROUND($F9/1.1,0))</f>
        <v/>
      </c>
      <c r="H9" s="14">
        <f>IF($F9="","",IF(기본설정!$C$9="일반과세자",$F9-$G9,0))</f>
        <v/>
      </c>
      <c r="I9" s="8" t="n"/>
      <c r="J9" s="8" t="n"/>
    </row>
    <row r="10">
      <c r="B10" s="13" t="n"/>
      <c r="C10" s="8" t="n"/>
      <c r="D10" s="8" t="n"/>
      <c r="E10" s="8" t="n"/>
      <c r="F10" s="11" t="n"/>
      <c r="G10" s="14">
        <f>IF($F10="","",ROUND($F10/1.1,0))</f>
        <v/>
      </c>
      <c r="H10" s="14">
        <f>IF($F10="","",IF(기본설정!$C$9="일반과세자",$F10-$G10,0))</f>
        <v/>
      </c>
      <c r="I10" s="8" t="n"/>
      <c r="J10" s="8" t="n"/>
    </row>
    <row r="11">
      <c r="B11" s="13" t="n"/>
      <c r="C11" s="8" t="n"/>
      <c r="D11" s="8" t="n"/>
      <c r="E11" s="8" t="n"/>
      <c r="F11" s="11" t="n"/>
      <c r="G11" s="14">
        <f>IF($F11="","",ROUND($F11/1.1,0))</f>
        <v/>
      </c>
      <c r="H11" s="14">
        <f>IF($F11="","",IF(기본설정!$C$9="일반과세자",$F11-$G11,0))</f>
        <v/>
      </c>
      <c r="I11" s="8" t="n"/>
      <c r="J11" s="8" t="n"/>
    </row>
    <row r="12">
      <c r="B12" s="13" t="n"/>
      <c r="C12" s="8" t="n"/>
      <c r="D12" s="8" t="n"/>
      <c r="E12" s="8" t="n"/>
      <c r="F12" s="11" t="n"/>
      <c r="G12" s="14">
        <f>IF($F12="","",ROUND($F12/1.1,0))</f>
        <v/>
      </c>
      <c r="H12" s="14">
        <f>IF($F12="","",IF(기본설정!$C$9="일반과세자",$F12-$G12,0))</f>
        <v/>
      </c>
      <c r="I12" s="8" t="n"/>
      <c r="J12" s="8" t="n"/>
    </row>
    <row r="13">
      <c r="B13" s="13" t="n"/>
      <c r="C13" s="8" t="n"/>
      <c r="D13" s="8" t="n"/>
      <c r="E13" s="8" t="n"/>
      <c r="F13" s="11" t="n"/>
      <c r="G13" s="14">
        <f>IF($F13="","",ROUND($F13/1.1,0))</f>
        <v/>
      </c>
      <c r="H13" s="14">
        <f>IF($F13="","",IF(기본설정!$C$9="일반과세자",$F13-$G13,0))</f>
        <v/>
      </c>
      <c r="I13" s="8" t="n"/>
      <c r="J13" s="8" t="n"/>
    </row>
    <row r="14">
      <c r="B14" s="13" t="n"/>
      <c r="C14" s="8" t="n"/>
      <c r="D14" s="8" t="n"/>
      <c r="E14" s="8" t="n"/>
      <c r="F14" s="11" t="n"/>
      <c r="G14" s="14">
        <f>IF($F14="","",ROUND($F14/1.1,0))</f>
        <v/>
      </c>
      <c r="H14" s="14">
        <f>IF($F14="","",IF(기본설정!$C$9="일반과세자",$F14-$G14,0))</f>
        <v/>
      </c>
      <c r="I14" s="8" t="n"/>
      <c r="J14" s="8" t="n"/>
    </row>
    <row r="15">
      <c r="B15" s="13" t="n"/>
      <c r="C15" s="8" t="n"/>
      <c r="D15" s="8" t="n"/>
      <c r="E15" s="8" t="n"/>
      <c r="F15" s="11" t="n"/>
      <c r="G15" s="14">
        <f>IF($F15="","",ROUND($F15/1.1,0))</f>
        <v/>
      </c>
      <c r="H15" s="14">
        <f>IF($F15="","",IF(기본설정!$C$9="일반과세자",$F15-$G15,0))</f>
        <v/>
      </c>
      <c r="I15" s="8" t="n"/>
      <c r="J15" s="8" t="n"/>
    </row>
    <row r="16">
      <c r="B16" s="13" t="n"/>
      <c r="C16" s="8" t="n"/>
      <c r="D16" s="8" t="n"/>
      <c r="E16" s="8" t="n"/>
      <c r="F16" s="11" t="n"/>
      <c r="G16" s="14">
        <f>IF($F16="","",ROUND($F16/1.1,0))</f>
        <v/>
      </c>
      <c r="H16" s="14">
        <f>IF($F16="","",IF(기본설정!$C$9="일반과세자",$F16-$G16,0))</f>
        <v/>
      </c>
      <c r="I16" s="8" t="n"/>
      <c r="J16" s="8" t="n"/>
    </row>
    <row r="17">
      <c r="B17" s="13" t="n"/>
      <c r="C17" s="8" t="n"/>
      <c r="D17" s="8" t="n"/>
      <c r="E17" s="8" t="n"/>
      <c r="F17" s="11" t="n"/>
      <c r="G17" s="14">
        <f>IF($F17="","",ROUND($F17/1.1,0))</f>
        <v/>
      </c>
      <c r="H17" s="14">
        <f>IF($F17="","",IF(기본설정!$C$9="일반과세자",$F17-$G17,0))</f>
        <v/>
      </c>
      <c r="I17" s="8" t="n"/>
      <c r="J17" s="8" t="n"/>
    </row>
    <row r="18">
      <c r="B18" s="13" t="n"/>
      <c r="C18" s="8" t="n"/>
      <c r="D18" s="8" t="n"/>
      <c r="E18" s="8" t="n"/>
      <c r="F18" s="11" t="n"/>
      <c r="G18" s="14">
        <f>IF($F18="","",ROUND($F18/1.1,0))</f>
        <v/>
      </c>
      <c r="H18" s="14">
        <f>IF($F18="","",IF(기본설정!$C$9="일반과세자",$F18-$G18,0))</f>
        <v/>
      </c>
      <c r="I18" s="8" t="n"/>
      <c r="J18" s="8" t="n"/>
    </row>
    <row r="19">
      <c r="B19" s="13" t="n"/>
      <c r="C19" s="8" t="n"/>
      <c r="D19" s="8" t="n"/>
      <c r="E19" s="8" t="n"/>
      <c r="F19" s="11" t="n"/>
      <c r="G19" s="14">
        <f>IF($F19="","",ROUND($F19/1.1,0))</f>
        <v/>
      </c>
      <c r="H19" s="14">
        <f>IF($F19="","",IF(기본설정!$C$9="일반과세자",$F19-$G19,0))</f>
        <v/>
      </c>
      <c r="I19" s="8" t="n"/>
      <c r="J19" s="8" t="n"/>
    </row>
    <row r="20">
      <c r="B20" s="13" t="n"/>
      <c r="C20" s="8" t="n"/>
      <c r="D20" s="8" t="n"/>
      <c r="E20" s="8" t="n"/>
      <c r="F20" s="11" t="n"/>
      <c r="G20" s="14">
        <f>IF($F20="","",ROUND($F20/1.1,0))</f>
        <v/>
      </c>
      <c r="H20" s="14">
        <f>IF($F20="","",IF(기본설정!$C$9="일반과세자",$F20-$G20,0))</f>
        <v/>
      </c>
      <c r="I20" s="8" t="n"/>
      <c r="J20" s="8" t="n"/>
    </row>
    <row r="21">
      <c r="B21" s="13" t="n"/>
      <c r="C21" s="8" t="n"/>
      <c r="D21" s="8" t="n"/>
      <c r="E21" s="8" t="n"/>
      <c r="F21" s="11" t="n"/>
      <c r="G21" s="14">
        <f>IF($F21="","",ROUND($F21/1.1,0))</f>
        <v/>
      </c>
      <c r="H21" s="14">
        <f>IF($F21="","",IF(기본설정!$C$9="일반과세자",$F21-$G21,0))</f>
        <v/>
      </c>
      <c r="I21" s="8" t="n"/>
      <c r="J21" s="8" t="n"/>
    </row>
    <row r="22">
      <c r="B22" s="13" t="n"/>
      <c r="C22" s="8" t="n"/>
      <c r="D22" s="8" t="n"/>
      <c r="E22" s="8" t="n"/>
      <c r="F22" s="11" t="n"/>
      <c r="G22" s="14">
        <f>IF($F22="","",ROUND($F22/1.1,0))</f>
        <v/>
      </c>
      <c r="H22" s="14">
        <f>IF($F22="","",IF(기본설정!$C$9="일반과세자",$F22-$G22,0))</f>
        <v/>
      </c>
      <c r="I22" s="8" t="n"/>
      <c r="J22" s="8" t="n"/>
    </row>
    <row r="23">
      <c r="B23" s="13" t="n"/>
      <c r="C23" s="8" t="n"/>
      <c r="D23" s="8" t="n"/>
      <c r="E23" s="8" t="n"/>
      <c r="F23" s="11" t="n"/>
      <c r="G23" s="14">
        <f>IF($F23="","",ROUND($F23/1.1,0))</f>
        <v/>
      </c>
      <c r="H23" s="14">
        <f>IF($F23="","",IF(기본설정!$C$9="일반과세자",$F23-$G23,0))</f>
        <v/>
      </c>
      <c r="I23" s="8" t="n"/>
      <c r="J23" s="8" t="n"/>
    </row>
    <row r="24">
      <c r="B24" s="13" t="n"/>
      <c r="C24" s="8" t="n"/>
      <c r="D24" s="8" t="n"/>
      <c r="E24" s="8" t="n"/>
      <c r="F24" s="11" t="n"/>
      <c r="G24" s="14">
        <f>IF($F24="","",ROUND($F24/1.1,0))</f>
        <v/>
      </c>
      <c r="H24" s="14">
        <f>IF($F24="","",IF(기본설정!$C$9="일반과세자",$F24-$G24,0))</f>
        <v/>
      </c>
      <c r="I24" s="8" t="n"/>
      <c r="J24" s="8" t="n"/>
    </row>
    <row r="25">
      <c r="B25" s="13" t="n"/>
      <c r="C25" s="8" t="n"/>
      <c r="D25" s="8" t="n"/>
      <c r="E25" s="8" t="n"/>
      <c r="F25" s="11" t="n"/>
      <c r="G25" s="14">
        <f>IF($F25="","",ROUND($F25/1.1,0))</f>
        <v/>
      </c>
      <c r="H25" s="14">
        <f>IF($F25="","",IF(기본설정!$C$9="일반과세자",$F25-$G25,0))</f>
        <v/>
      </c>
      <c r="I25" s="8" t="n"/>
      <c r="J25" s="8" t="n"/>
    </row>
    <row r="26">
      <c r="B26" s="13" t="n"/>
      <c r="C26" s="8" t="n"/>
      <c r="D26" s="8" t="n"/>
      <c r="E26" s="8" t="n"/>
      <c r="F26" s="11" t="n"/>
      <c r="G26" s="14">
        <f>IF($F26="","",ROUND($F26/1.1,0))</f>
        <v/>
      </c>
      <c r="H26" s="14">
        <f>IF($F26="","",IF(기본설정!$C$9="일반과세자",$F26-$G26,0))</f>
        <v/>
      </c>
      <c r="I26" s="8" t="n"/>
      <c r="J26" s="8" t="n"/>
    </row>
    <row r="27">
      <c r="B27" s="13" t="n"/>
      <c r="C27" s="8" t="n"/>
      <c r="D27" s="8" t="n"/>
      <c r="E27" s="8" t="n"/>
      <c r="F27" s="11" t="n"/>
      <c r="G27" s="14">
        <f>IF($F27="","",ROUND($F27/1.1,0))</f>
        <v/>
      </c>
      <c r="H27" s="14">
        <f>IF($F27="","",IF(기본설정!$C$9="일반과세자",$F27-$G27,0))</f>
        <v/>
      </c>
      <c r="I27" s="8" t="n"/>
      <c r="J27" s="8" t="n"/>
    </row>
    <row r="28">
      <c r="B28" s="13" t="n"/>
      <c r="C28" s="8" t="n"/>
      <c r="D28" s="8" t="n"/>
      <c r="E28" s="8" t="n"/>
      <c r="F28" s="11" t="n"/>
      <c r="G28" s="14">
        <f>IF($F28="","",ROUND($F28/1.1,0))</f>
        <v/>
      </c>
      <c r="H28" s="14">
        <f>IF($F28="","",IF(기본설정!$C$9="일반과세자",$F28-$G28,0))</f>
        <v/>
      </c>
      <c r="I28" s="8" t="n"/>
      <c r="J28" s="8" t="n"/>
    </row>
    <row r="29">
      <c r="B29" s="13" t="n"/>
      <c r="C29" s="8" t="n"/>
      <c r="D29" s="8" t="n"/>
      <c r="E29" s="8" t="n"/>
      <c r="F29" s="11" t="n"/>
      <c r="G29" s="14">
        <f>IF($F29="","",ROUND($F29/1.1,0))</f>
        <v/>
      </c>
      <c r="H29" s="14">
        <f>IF($F29="","",IF(기본설정!$C$9="일반과세자",$F29-$G29,0))</f>
        <v/>
      </c>
      <c r="I29" s="8" t="n"/>
      <c r="J29" s="8" t="n"/>
    </row>
    <row r="30">
      <c r="B30" s="13" t="n"/>
      <c r="C30" s="8" t="n"/>
      <c r="D30" s="8" t="n"/>
      <c r="E30" s="8" t="n"/>
      <c r="F30" s="11" t="n"/>
      <c r="G30" s="14">
        <f>IF($F30="","",ROUND($F30/1.1,0))</f>
        <v/>
      </c>
      <c r="H30" s="14">
        <f>IF($F30="","",IF(기본설정!$C$9="일반과세자",$F30-$G30,0))</f>
        <v/>
      </c>
      <c r="I30" s="8" t="n"/>
      <c r="J30" s="8" t="n"/>
    </row>
    <row r="31">
      <c r="B31" s="13" t="n"/>
      <c r="C31" s="8" t="n"/>
      <c r="D31" s="8" t="n"/>
      <c r="E31" s="8" t="n"/>
      <c r="F31" s="11" t="n"/>
      <c r="G31" s="14">
        <f>IF($F31="","",ROUND($F31/1.1,0))</f>
        <v/>
      </c>
      <c r="H31" s="14">
        <f>IF($F31="","",IF(기본설정!$C$9="일반과세자",$F31-$G31,0))</f>
        <v/>
      </c>
      <c r="I31" s="8" t="n"/>
      <c r="J31" s="8" t="n"/>
    </row>
    <row r="32">
      <c r="B32" s="13" t="n"/>
      <c r="C32" s="8" t="n"/>
      <c r="D32" s="8" t="n"/>
      <c r="E32" s="8" t="n"/>
      <c r="F32" s="11" t="n"/>
      <c r="G32" s="14">
        <f>IF($F32="","",ROUND($F32/1.1,0))</f>
        <v/>
      </c>
      <c r="H32" s="14">
        <f>IF($F32="","",IF(기본설정!$C$9="일반과세자",$F32-$G32,0))</f>
        <v/>
      </c>
      <c r="I32" s="8" t="n"/>
      <c r="J32" s="8" t="n"/>
    </row>
    <row r="33">
      <c r="B33" s="13" t="n"/>
      <c r="C33" s="8" t="n"/>
      <c r="D33" s="8" t="n"/>
      <c r="E33" s="8" t="n"/>
      <c r="F33" s="11" t="n"/>
      <c r="G33" s="14">
        <f>IF($F33="","",ROUND($F33/1.1,0))</f>
        <v/>
      </c>
      <c r="H33" s="14">
        <f>IF($F33="","",IF(기본설정!$C$9="일반과세자",$F33-$G33,0))</f>
        <v/>
      </c>
      <c r="I33" s="8" t="n"/>
      <c r="J33" s="8" t="n"/>
    </row>
    <row r="34">
      <c r="B34" s="13" t="n"/>
      <c r="C34" s="8" t="n"/>
      <c r="D34" s="8" t="n"/>
      <c r="E34" s="8" t="n"/>
      <c r="F34" s="11" t="n"/>
      <c r="G34" s="14">
        <f>IF($F34="","",ROUND($F34/1.1,0))</f>
        <v/>
      </c>
      <c r="H34" s="14">
        <f>IF($F34="","",IF(기본설정!$C$9="일반과세자",$F34-$G34,0))</f>
        <v/>
      </c>
      <c r="I34" s="8" t="n"/>
      <c r="J34" s="8" t="n"/>
    </row>
    <row r="35">
      <c r="B35" s="13" t="n"/>
      <c r="C35" s="8" t="n"/>
      <c r="D35" s="8" t="n"/>
      <c r="E35" s="8" t="n"/>
      <c r="F35" s="11" t="n"/>
      <c r="G35" s="14">
        <f>IF($F35="","",ROUND($F35/1.1,0))</f>
        <v/>
      </c>
      <c r="H35" s="14">
        <f>IF($F35="","",IF(기본설정!$C$9="일반과세자",$F35-$G35,0))</f>
        <v/>
      </c>
      <c r="I35" s="8" t="n"/>
      <c r="J35" s="8" t="n"/>
    </row>
    <row r="36">
      <c r="B36" s="13" t="n"/>
      <c r="C36" s="8" t="n"/>
      <c r="D36" s="8" t="n"/>
      <c r="E36" s="8" t="n"/>
      <c r="F36" s="11" t="n"/>
      <c r="G36" s="14">
        <f>IF($F36="","",ROUND($F36/1.1,0))</f>
        <v/>
      </c>
      <c r="H36" s="14">
        <f>IF($F36="","",IF(기본설정!$C$9="일반과세자",$F36-$G36,0))</f>
        <v/>
      </c>
      <c r="I36" s="8" t="n"/>
      <c r="J36" s="8" t="n"/>
    </row>
    <row r="37">
      <c r="B37" s="13" t="n"/>
      <c r="C37" s="8" t="n"/>
      <c r="D37" s="8" t="n"/>
      <c r="E37" s="8" t="n"/>
      <c r="F37" s="11" t="n"/>
      <c r="G37" s="14">
        <f>IF($F37="","",ROUND($F37/1.1,0))</f>
        <v/>
      </c>
      <c r="H37" s="14">
        <f>IF($F37="","",IF(기본설정!$C$9="일반과세자",$F37-$G37,0))</f>
        <v/>
      </c>
      <c r="I37" s="8" t="n"/>
      <c r="J37" s="8" t="n"/>
    </row>
    <row r="38">
      <c r="B38" s="13" t="n"/>
      <c r="C38" s="8" t="n"/>
      <c r="D38" s="8" t="n"/>
      <c r="E38" s="8" t="n"/>
      <c r="F38" s="11" t="n"/>
      <c r="G38" s="14">
        <f>IF($F38="","",ROUND($F38/1.1,0))</f>
        <v/>
      </c>
      <c r="H38" s="14">
        <f>IF($F38="","",IF(기본설정!$C$9="일반과세자",$F38-$G38,0))</f>
        <v/>
      </c>
      <c r="I38" s="8" t="n"/>
      <c r="J38" s="8" t="n"/>
    </row>
    <row r="39">
      <c r="B39" s="13" t="n"/>
      <c r="C39" s="8" t="n"/>
      <c r="D39" s="8" t="n"/>
      <c r="E39" s="8" t="n"/>
      <c r="F39" s="11" t="n"/>
      <c r="G39" s="14">
        <f>IF($F39="","",ROUND($F39/1.1,0))</f>
        <v/>
      </c>
      <c r="H39" s="14">
        <f>IF($F39="","",IF(기본설정!$C$9="일반과세자",$F39-$G39,0))</f>
        <v/>
      </c>
      <c r="I39" s="8" t="n"/>
      <c r="J39" s="8" t="n"/>
    </row>
    <row r="40">
      <c r="B40" s="13" t="n"/>
      <c r="C40" s="8" t="n"/>
      <c r="D40" s="8" t="n"/>
      <c r="E40" s="8" t="n"/>
      <c r="F40" s="11" t="n"/>
      <c r="G40" s="14">
        <f>IF($F40="","",ROUND($F40/1.1,0))</f>
        <v/>
      </c>
      <c r="H40" s="14">
        <f>IF($F40="","",IF(기본설정!$C$9="일반과세자",$F40-$G40,0))</f>
        <v/>
      </c>
      <c r="I40" s="8" t="n"/>
      <c r="J40" s="8" t="n"/>
    </row>
    <row r="41">
      <c r="B41" s="13" t="n"/>
      <c r="C41" s="8" t="n"/>
      <c r="D41" s="8" t="n"/>
      <c r="E41" s="8" t="n"/>
      <c r="F41" s="11" t="n"/>
      <c r="G41" s="14">
        <f>IF($F41="","",ROUND($F41/1.1,0))</f>
        <v/>
      </c>
      <c r="H41" s="14">
        <f>IF($F41="","",IF(기본설정!$C$9="일반과세자",$F41-$G41,0))</f>
        <v/>
      </c>
      <c r="I41" s="8" t="n"/>
      <c r="J41" s="8" t="n"/>
    </row>
    <row r="42">
      <c r="B42" s="13" t="n"/>
      <c r="C42" s="8" t="n"/>
      <c r="D42" s="8" t="n"/>
      <c r="E42" s="8" t="n"/>
      <c r="F42" s="11" t="n"/>
      <c r="G42" s="14">
        <f>IF($F42="","",ROUND($F42/1.1,0))</f>
        <v/>
      </c>
      <c r="H42" s="14">
        <f>IF($F42="","",IF(기본설정!$C$9="일반과세자",$F42-$G42,0))</f>
        <v/>
      </c>
      <c r="I42" s="8" t="n"/>
      <c r="J42" s="8" t="n"/>
    </row>
    <row r="43">
      <c r="B43" s="13" t="n"/>
      <c r="C43" s="8" t="n"/>
      <c r="D43" s="8" t="n"/>
      <c r="E43" s="8" t="n"/>
      <c r="F43" s="11" t="n"/>
      <c r="G43" s="14">
        <f>IF($F43="","",ROUND($F43/1.1,0))</f>
        <v/>
      </c>
      <c r="H43" s="14">
        <f>IF($F43="","",IF(기본설정!$C$9="일반과세자",$F43-$G43,0))</f>
        <v/>
      </c>
      <c r="I43" s="8" t="n"/>
      <c r="J43" s="8" t="n"/>
    </row>
    <row r="44">
      <c r="B44" s="13" t="n"/>
      <c r="C44" s="8" t="n"/>
      <c r="D44" s="8" t="n"/>
      <c r="E44" s="8" t="n"/>
      <c r="F44" s="11" t="n"/>
      <c r="G44" s="14">
        <f>IF($F44="","",ROUND($F44/1.1,0))</f>
        <v/>
      </c>
      <c r="H44" s="14">
        <f>IF($F44="","",IF(기본설정!$C$9="일반과세자",$F44-$G44,0))</f>
        <v/>
      </c>
      <c r="I44" s="8" t="n"/>
      <c r="J44" s="8" t="n"/>
    </row>
    <row r="45">
      <c r="B45" s="13" t="n"/>
      <c r="C45" s="8" t="n"/>
      <c r="D45" s="8" t="n"/>
      <c r="E45" s="8" t="n"/>
      <c r="F45" s="11" t="n"/>
      <c r="G45" s="14">
        <f>IF($F45="","",ROUND($F45/1.1,0))</f>
        <v/>
      </c>
      <c r="H45" s="14">
        <f>IF($F45="","",IF(기본설정!$C$9="일반과세자",$F45-$G45,0))</f>
        <v/>
      </c>
      <c r="I45" s="8" t="n"/>
      <c r="J45" s="8" t="n"/>
    </row>
    <row r="46">
      <c r="B46" s="13" t="n"/>
      <c r="C46" s="8" t="n"/>
      <c r="D46" s="8" t="n"/>
      <c r="E46" s="8" t="n"/>
      <c r="F46" s="11" t="n"/>
      <c r="G46" s="14">
        <f>IF($F46="","",ROUND($F46/1.1,0))</f>
        <v/>
      </c>
      <c r="H46" s="14">
        <f>IF($F46="","",IF(기본설정!$C$9="일반과세자",$F46-$G46,0))</f>
        <v/>
      </c>
      <c r="I46" s="8" t="n"/>
      <c r="J46" s="8" t="n"/>
    </row>
    <row r="47">
      <c r="B47" s="13" t="n"/>
      <c r="C47" s="8" t="n"/>
      <c r="D47" s="8" t="n"/>
      <c r="E47" s="8" t="n"/>
      <c r="F47" s="11" t="n"/>
      <c r="G47" s="14">
        <f>IF($F47="","",ROUND($F47/1.1,0))</f>
        <v/>
      </c>
      <c r="H47" s="14">
        <f>IF($F47="","",IF(기본설정!$C$9="일반과세자",$F47-$G47,0))</f>
        <v/>
      </c>
      <c r="I47" s="8" t="n"/>
      <c r="J47" s="8" t="n"/>
    </row>
    <row r="48">
      <c r="B48" s="13" t="n"/>
      <c r="C48" s="8" t="n"/>
      <c r="D48" s="8" t="n"/>
      <c r="E48" s="8" t="n"/>
      <c r="F48" s="11" t="n"/>
      <c r="G48" s="14">
        <f>IF($F48="","",ROUND($F48/1.1,0))</f>
        <v/>
      </c>
      <c r="H48" s="14">
        <f>IF($F48="","",IF(기본설정!$C$9="일반과세자",$F48-$G48,0))</f>
        <v/>
      </c>
      <c r="I48" s="8" t="n"/>
      <c r="J48" s="8" t="n"/>
    </row>
    <row r="49">
      <c r="B49" s="13" t="n"/>
      <c r="C49" s="8" t="n"/>
      <c r="D49" s="8" t="n"/>
      <c r="E49" s="8" t="n"/>
      <c r="F49" s="11" t="n"/>
      <c r="G49" s="14">
        <f>IF($F49="","",ROUND($F49/1.1,0))</f>
        <v/>
      </c>
      <c r="H49" s="14">
        <f>IF($F49="","",IF(기본설정!$C$9="일반과세자",$F49-$G49,0))</f>
        <v/>
      </c>
      <c r="I49" s="8" t="n"/>
      <c r="J49" s="8" t="n"/>
    </row>
    <row r="50">
      <c r="B50" s="13" t="n"/>
      <c r="C50" s="8" t="n"/>
      <c r="D50" s="8" t="n"/>
      <c r="E50" s="8" t="n"/>
      <c r="F50" s="11" t="n"/>
      <c r="G50" s="14">
        <f>IF($F50="","",ROUND($F50/1.1,0))</f>
        <v/>
      </c>
      <c r="H50" s="14">
        <f>IF($F50="","",IF(기본설정!$C$9="일반과세자",$F50-$G50,0))</f>
        <v/>
      </c>
      <c r="I50" s="8" t="n"/>
      <c r="J50" s="8" t="n"/>
    </row>
    <row r="51">
      <c r="B51" s="13" t="n"/>
      <c r="C51" s="8" t="n"/>
      <c r="D51" s="8" t="n"/>
      <c r="E51" s="8" t="n"/>
      <c r="F51" s="11" t="n"/>
      <c r="G51" s="14">
        <f>IF($F51="","",ROUND($F51/1.1,0))</f>
        <v/>
      </c>
      <c r="H51" s="14">
        <f>IF($F51="","",IF(기본설정!$C$9="일반과세자",$F51-$G51,0))</f>
        <v/>
      </c>
      <c r="I51" s="8" t="n"/>
      <c r="J51" s="8" t="n"/>
    </row>
    <row r="52">
      <c r="B52" s="13" t="n"/>
      <c r="C52" s="8" t="n"/>
      <c r="D52" s="8" t="n"/>
      <c r="E52" s="8" t="n"/>
      <c r="F52" s="11" t="n"/>
      <c r="G52" s="14">
        <f>IF($F52="","",ROUND($F52/1.1,0))</f>
        <v/>
      </c>
      <c r="H52" s="14">
        <f>IF($F52="","",IF(기본설정!$C$9="일반과세자",$F52-$G52,0))</f>
        <v/>
      </c>
      <c r="I52" s="8" t="n"/>
      <c r="J52" s="8" t="n"/>
    </row>
    <row r="53">
      <c r="B53" s="13" t="n"/>
      <c r="C53" s="8" t="n"/>
      <c r="D53" s="8" t="n"/>
      <c r="E53" s="8" t="n"/>
      <c r="F53" s="11" t="n"/>
      <c r="G53" s="14">
        <f>IF($F53="","",ROUND($F53/1.1,0))</f>
        <v/>
      </c>
      <c r="H53" s="14">
        <f>IF($F53="","",IF(기본설정!$C$9="일반과세자",$F53-$G53,0))</f>
        <v/>
      </c>
      <c r="I53" s="8" t="n"/>
      <c r="J53" s="8" t="n"/>
    </row>
    <row r="54">
      <c r="B54" s="13" t="n"/>
      <c r="C54" s="8" t="n"/>
      <c r="D54" s="8" t="n"/>
      <c r="E54" s="8" t="n"/>
      <c r="F54" s="11" t="n"/>
      <c r="G54" s="14">
        <f>IF($F54="","",ROUND($F54/1.1,0))</f>
        <v/>
      </c>
      <c r="H54" s="14">
        <f>IF($F54="","",IF(기본설정!$C$9="일반과세자",$F54-$G54,0))</f>
        <v/>
      </c>
      <c r="I54" s="8" t="n"/>
      <c r="J54" s="8" t="n"/>
    </row>
    <row r="55">
      <c r="B55" s="13" t="n"/>
      <c r="C55" s="8" t="n"/>
      <c r="D55" s="8" t="n"/>
      <c r="E55" s="8" t="n"/>
      <c r="F55" s="11" t="n"/>
      <c r="G55" s="14">
        <f>IF($F55="","",ROUND($F55/1.1,0))</f>
        <v/>
      </c>
      <c r="H55" s="14">
        <f>IF($F55="","",IF(기본설정!$C$9="일반과세자",$F55-$G55,0))</f>
        <v/>
      </c>
      <c r="I55" s="8" t="n"/>
      <c r="J55" s="8" t="n"/>
    </row>
    <row r="56">
      <c r="B56" s="13" t="n"/>
      <c r="C56" s="8" t="n"/>
      <c r="D56" s="8" t="n"/>
      <c r="E56" s="8" t="n"/>
      <c r="F56" s="11" t="n"/>
      <c r="G56" s="14">
        <f>IF($F56="","",ROUND($F56/1.1,0))</f>
        <v/>
      </c>
      <c r="H56" s="14">
        <f>IF($F56="","",IF(기본설정!$C$9="일반과세자",$F56-$G56,0))</f>
        <v/>
      </c>
      <c r="I56" s="8" t="n"/>
      <c r="J56" s="8" t="n"/>
    </row>
    <row r="57">
      <c r="B57" s="13" t="n"/>
      <c r="C57" s="8" t="n"/>
      <c r="D57" s="8" t="n"/>
      <c r="E57" s="8" t="n"/>
      <c r="F57" s="11" t="n"/>
      <c r="G57" s="14">
        <f>IF($F57="","",ROUND($F57/1.1,0))</f>
        <v/>
      </c>
      <c r="H57" s="14">
        <f>IF($F57="","",IF(기본설정!$C$9="일반과세자",$F57-$G57,0))</f>
        <v/>
      </c>
      <c r="I57" s="8" t="n"/>
      <c r="J57" s="8" t="n"/>
    </row>
    <row r="58">
      <c r="B58" s="13" t="n"/>
      <c r="C58" s="8" t="n"/>
      <c r="D58" s="8" t="n"/>
      <c r="E58" s="8" t="n"/>
      <c r="F58" s="11" t="n"/>
      <c r="G58" s="14">
        <f>IF($F58="","",ROUND($F58/1.1,0))</f>
        <v/>
      </c>
      <c r="H58" s="14">
        <f>IF($F58="","",IF(기본설정!$C$9="일반과세자",$F58-$G58,0))</f>
        <v/>
      </c>
      <c r="I58" s="8" t="n"/>
      <c r="J58" s="8" t="n"/>
    </row>
    <row r="59">
      <c r="B59" s="13" t="n"/>
      <c r="C59" s="8" t="n"/>
      <c r="D59" s="8" t="n"/>
      <c r="E59" s="8" t="n"/>
      <c r="F59" s="11" t="n"/>
      <c r="G59" s="14">
        <f>IF($F59="","",ROUND($F59/1.1,0))</f>
        <v/>
      </c>
      <c r="H59" s="14">
        <f>IF($F59="","",IF(기본설정!$C$9="일반과세자",$F59-$G59,0))</f>
        <v/>
      </c>
      <c r="I59" s="8" t="n"/>
      <c r="J59" s="8" t="n"/>
    </row>
    <row r="60">
      <c r="B60" s="13" t="n"/>
      <c r="C60" s="8" t="n"/>
      <c r="D60" s="8" t="n"/>
      <c r="E60" s="8" t="n"/>
      <c r="F60" s="11" t="n"/>
      <c r="G60" s="14">
        <f>IF($F60="","",ROUND($F60/1.1,0))</f>
        <v/>
      </c>
      <c r="H60" s="14">
        <f>IF($F60="","",IF(기본설정!$C$9="일반과세자",$F60-$G60,0))</f>
        <v/>
      </c>
      <c r="I60" s="8" t="n"/>
      <c r="J60" s="8" t="n"/>
    </row>
    <row r="61">
      <c r="B61" s="13" t="n"/>
      <c r="C61" s="8" t="n"/>
      <c r="D61" s="8" t="n"/>
      <c r="E61" s="8" t="n"/>
      <c r="F61" s="11" t="n"/>
      <c r="G61" s="14">
        <f>IF($F61="","",ROUND($F61/1.1,0))</f>
        <v/>
      </c>
      <c r="H61" s="14">
        <f>IF($F61="","",IF(기본설정!$C$9="일반과세자",$F61-$G61,0))</f>
        <v/>
      </c>
      <c r="I61" s="8" t="n"/>
      <c r="J61" s="8" t="n"/>
    </row>
    <row r="62">
      <c r="B62" s="13" t="n"/>
      <c r="C62" s="8" t="n"/>
      <c r="D62" s="8" t="n"/>
      <c r="E62" s="8" t="n"/>
      <c r="F62" s="11" t="n"/>
      <c r="G62" s="14">
        <f>IF($F62="","",ROUND($F62/1.1,0))</f>
        <v/>
      </c>
      <c r="H62" s="14">
        <f>IF($F62="","",IF(기본설정!$C$9="일반과세자",$F62-$G62,0))</f>
        <v/>
      </c>
      <c r="I62" s="8" t="n"/>
      <c r="J62" s="8" t="n"/>
    </row>
    <row r="63">
      <c r="B63" s="13" t="n"/>
      <c r="C63" s="8" t="n"/>
      <c r="D63" s="8" t="n"/>
      <c r="E63" s="8" t="n"/>
      <c r="F63" s="11" t="n"/>
      <c r="G63" s="14">
        <f>IF($F63="","",ROUND($F63/1.1,0))</f>
        <v/>
      </c>
      <c r="H63" s="14">
        <f>IF($F63="","",IF(기본설정!$C$9="일반과세자",$F63-$G63,0))</f>
        <v/>
      </c>
      <c r="I63" s="8" t="n"/>
      <c r="J63" s="8" t="n"/>
    </row>
    <row r="64">
      <c r="B64" s="13" t="n"/>
      <c r="C64" s="8" t="n"/>
      <c r="D64" s="8" t="n"/>
      <c r="E64" s="8" t="n"/>
      <c r="F64" s="11" t="n"/>
      <c r="G64" s="14">
        <f>IF($F64="","",ROUND($F64/1.1,0))</f>
        <v/>
      </c>
      <c r="H64" s="14">
        <f>IF($F64="","",IF(기본설정!$C$9="일반과세자",$F64-$G64,0))</f>
        <v/>
      </c>
      <c r="I64" s="8" t="n"/>
      <c r="J64" s="8" t="n"/>
    </row>
    <row r="65">
      <c r="B65" s="13" t="n"/>
      <c r="C65" s="8" t="n"/>
      <c r="D65" s="8" t="n"/>
      <c r="E65" s="8" t="n"/>
      <c r="F65" s="11" t="n"/>
      <c r="G65" s="14">
        <f>IF($F65="","",ROUND($F65/1.1,0))</f>
        <v/>
      </c>
      <c r="H65" s="14">
        <f>IF($F65="","",IF(기본설정!$C$9="일반과세자",$F65-$G65,0))</f>
        <v/>
      </c>
      <c r="I65" s="8" t="n"/>
      <c r="J65" s="8" t="n"/>
    </row>
    <row r="66">
      <c r="B66" s="13" t="n"/>
      <c r="C66" s="8" t="n"/>
      <c r="D66" s="8" t="n"/>
      <c r="E66" s="8" t="n"/>
      <c r="F66" s="11" t="n"/>
      <c r="G66" s="14">
        <f>IF($F66="","",ROUND($F66/1.1,0))</f>
        <v/>
      </c>
      <c r="H66" s="14">
        <f>IF($F66="","",IF(기본설정!$C$9="일반과세자",$F66-$G66,0))</f>
        <v/>
      </c>
      <c r="I66" s="8" t="n"/>
      <c r="J66" s="8" t="n"/>
    </row>
    <row r="67">
      <c r="B67" s="13" t="n"/>
      <c r="C67" s="8" t="n"/>
      <c r="D67" s="8" t="n"/>
      <c r="E67" s="8" t="n"/>
      <c r="F67" s="11" t="n"/>
      <c r="G67" s="14">
        <f>IF($F67="","",ROUND($F67/1.1,0))</f>
        <v/>
      </c>
      <c r="H67" s="14">
        <f>IF($F67="","",IF(기본설정!$C$9="일반과세자",$F67-$G67,0))</f>
        <v/>
      </c>
      <c r="I67" s="8" t="n"/>
      <c r="J67" s="8" t="n"/>
    </row>
    <row r="68">
      <c r="B68" s="13" t="n"/>
      <c r="C68" s="8" t="n"/>
      <c r="D68" s="8" t="n"/>
      <c r="E68" s="8" t="n"/>
      <c r="F68" s="11" t="n"/>
      <c r="G68" s="14">
        <f>IF($F68="","",ROUND($F68/1.1,0))</f>
        <v/>
      </c>
      <c r="H68" s="14">
        <f>IF($F68="","",IF(기본설정!$C$9="일반과세자",$F68-$G68,0))</f>
        <v/>
      </c>
      <c r="I68" s="8" t="n"/>
      <c r="J68" s="8" t="n"/>
    </row>
    <row r="69">
      <c r="B69" s="13" t="n"/>
      <c r="C69" s="8" t="n"/>
      <c r="D69" s="8" t="n"/>
      <c r="E69" s="8" t="n"/>
      <c r="F69" s="11" t="n"/>
      <c r="G69" s="14">
        <f>IF($F69="","",ROUND($F69/1.1,0))</f>
        <v/>
      </c>
      <c r="H69" s="14">
        <f>IF($F69="","",IF(기본설정!$C$9="일반과세자",$F69-$G69,0))</f>
        <v/>
      </c>
      <c r="I69" s="8" t="n"/>
      <c r="J69" s="8" t="n"/>
    </row>
    <row r="70">
      <c r="B70" s="13" t="n"/>
      <c r="C70" s="8" t="n"/>
      <c r="D70" s="8" t="n"/>
      <c r="E70" s="8" t="n"/>
      <c r="F70" s="11" t="n"/>
      <c r="G70" s="14">
        <f>IF($F70="","",ROUND($F70/1.1,0))</f>
        <v/>
      </c>
      <c r="H70" s="14">
        <f>IF($F70="","",IF(기본설정!$C$9="일반과세자",$F70-$G70,0))</f>
        <v/>
      </c>
      <c r="I70" s="8" t="n"/>
      <c r="J70" s="8" t="n"/>
    </row>
    <row r="71">
      <c r="B71" s="13" t="n"/>
      <c r="C71" s="8" t="n"/>
      <c r="D71" s="8" t="n"/>
      <c r="E71" s="8" t="n"/>
      <c r="F71" s="11" t="n"/>
      <c r="G71" s="14">
        <f>IF($F71="","",ROUND($F71/1.1,0))</f>
        <v/>
      </c>
      <c r="H71" s="14">
        <f>IF($F71="","",IF(기본설정!$C$9="일반과세자",$F71-$G71,0))</f>
        <v/>
      </c>
      <c r="I71" s="8" t="n"/>
      <c r="J71" s="8" t="n"/>
    </row>
    <row r="72">
      <c r="B72" s="13" t="n"/>
      <c r="C72" s="8" t="n"/>
      <c r="D72" s="8" t="n"/>
      <c r="E72" s="8" t="n"/>
      <c r="F72" s="11" t="n"/>
      <c r="G72" s="14">
        <f>IF($F72="","",ROUND($F72/1.1,0))</f>
        <v/>
      </c>
      <c r="H72" s="14">
        <f>IF($F72="","",IF(기본설정!$C$9="일반과세자",$F72-$G72,0))</f>
        <v/>
      </c>
      <c r="I72" s="8" t="n"/>
      <c r="J72" s="8" t="n"/>
    </row>
    <row r="73">
      <c r="B73" s="13" t="n"/>
      <c r="C73" s="8" t="n"/>
      <c r="D73" s="8" t="n"/>
      <c r="E73" s="8" t="n"/>
      <c r="F73" s="11" t="n"/>
      <c r="G73" s="14">
        <f>IF($F73="","",ROUND($F73/1.1,0))</f>
        <v/>
      </c>
      <c r="H73" s="14">
        <f>IF($F73="","",IF(기본설정!$C$9="일반과세자",$F73-$G73,0))</f>
        <v/>
      </c>
      <c r="I73" s="8" t="n"/>
      <c r="J73" s="8" t="n"/>
    </row>
    <row r="74">
      <c r="B74" s="13" t="n"/>
      <c r="C74" s="8" t="n"/>
      <c r="D74" s="8" t="n"/>
      <c r="E74" s="8" t="n"/>
      <c r="F74" s="11" t="n"/>
      <c r="G74" s="14">
        <f>IF($F74="","",ROUND($F74/1.1,0))</f>
        <v/>
      </c>
      <c r="H74" s="14">
        <f>IF($F74="","",IF(기본설정!$C$9="일반과세자",$F74-$G74,0))</f>
        <v/>
      </c>
      <c r="I74" s="8" t="n"/>
      <c r="J74" s="8" t="n"/>
    </row>
    <row r="75">
      <c r="B75" s="13" t="n"/>
      <c r="C75" s="8" t="n"/>
      <c r="D75" s="8" t="n"/>
      <c r="E75" s="8" t="n"/>
      <c r="F75" s="11" t="n"/>
      <c r="G75" s="14">
        <f>IF($F75="","",ROUND($F75/1.1,0))</f>
        <v/>
      </c>
      <c r="H75" s="14">
        <f>IF($F75="","",IF(기본설정!$C$9="일반과세자",$F75-$G75,0))</f>
        <v/>
      </c>
      <c r="I75" s="8" t="n"/>
      <c r="J75" s="8" t="n"/>
    </row>
    <row r="76">
      <c r="B76" s="13" t="n"/>
      <c r="C76" s="8" t="n"/>
      <c r="D76" s="8" t="n"/>
      <c r="E76" s="8" t="n"/>
      <c r="F76" s="11" t="n"/>
      <c r="G76" s="14">
        <f>IF($F76="","",ROUND($F76/1.1,0))</f>
        <v/>
      </c>
      <c r="H76" s="14">
        <f>IF($F76="","",IF(기본설정!$C$9="일반과세자",$F76-$G76,0))</f>
        <v/>
      </c>
      <c r="I76" s="8" t="n"/>
      <c r="J76" s="8" t="n"/>
    </row>
    <row r="77">
      <c r="B77" s="13" t="n"/>
      <c r="C77" s="8" t="n"/>
      <c r="D77" s="8" t="n"/>
      <c r="E77" s="8" t="n"/>
      <c r="F77" s="11" t="n"/>
      <c r="G77" s="14">
        <f>IF($F77="","",ROUND($F77/1.1,0))</f>
        <v/>
      </c>
      <c r="H77" s="14">
        <f>IF($F77="","",IF(기본설정!$C$9="일반과세자",$F77-$G77,0))</f>
        <v/>
      </c>
      <c r="I77" s="8" t="n"/>
      <c r="J77" s="8" t="n"/>
    </row>
    <row r="78">
      <c r="B78" s="13" t="n"/>
      <c r="C78" s="8" t="n"/>
      <c r="D78" s="8" t="n"/>
      <c r="E78" s="8" t="n"/>
      <c r="F78" s="11" t="n"/>
      <c r="G78" s="14">
        <f>IF($F78="","",ROUND($F78/1.1,0))</f>
        <v/>
      </c>
      <c r="H78" s="14">
        <f>IF($F78="","",IF(기본설정!$C$9="일반과세자",$F78-$G78,0))</f>
        <v/>
      </c>
      <c r="I78" s="8" t="n"/>
      <c r="J78" s="8" t="n"/>
    </row>
    <row r="79">
      <c r="B79" s="13" t="n"/>
      <c r="C79" s="8" t="n"/>
      <c r="D79" s="8" t="n"/>
      <c r="E79" s="8" t="n"/>
      <c r="F79" s="11" t="n"/>
      <c r="G79" s="14">
        <f>IF($F79="","",ROUND($F79/1.1,0))</f>
        <v/>
      </c>
      <c r="H79" s="14">
        <f>IF($F79="","",IF(기본설정!$C$9="일반과세자",$F79-$G79,0))</f>
        <v/>
      </c>
      <c r="I79" s="8" t="n"/>
      <c r="J79" s="8" t="n"/>
    </row>
    <row r="80">
      <c r="B80" s="13" t="n"/>
      <c r="C80" s="8" t="n"/>
      <c r="D80" s="8" t="n"/>
      <c r="E80" s="8" t="n"/>
      <c r="F80" s="11" t="n"/>
      <c r="G80" s="14">
        <f>IF($F80="","",ROUND($F80/1.1,0))</f>
        <v/>
      </c>
      <c r="H80" s="14">
        <f>IF($F80="","",IF(기본설정!$C$9="일반과세자",$F80-$G80,0))</f>
        <v/>
      </c>
      <c r="I80" s="8" t="n"/>
      <c r="J80" s="8" t="n"/>
    </row>
    <row r="81">
      <c r="B81" s="13" t="n"/>
      <c r="C81" s="8" t="n"/>
      <c r="D81" s="8" t="n"/>
      <c r="E81" s="8" t="n"/>
      <c r="F81" s="11" t="n"/>
      <c r="G81" s="14">
        <f>IF($F81="","",ROUND($F81/1.1,0))</f>
        <v/>
      </c>
      <c r="H81" s="14">
        <f>IF($F81="","",IF(기본설정!$C$9="일반과세자",$F81-$G81,0))</f>
        <v/>
      </c>
      <c r="I81" s="8" t="n"/>
      <c r="J81" s="8" t="n"/>
    </row>
    <row r="82">
      <c r="B82" s="13" t="n"/>
      <c r="C82" s="8" t="n"/>
      <c r="D82" s="8" t="n"/>
      <c r="E82" s="8" t="n"/>
      <c r="F82" s="11" t="n"/>
      <c r="G82" s="14">
        <f>IF($F82="","",ROUND($F82/1.1,0))</f>
        <v/>
      </c>
      <c r="H82" s="14">
        <f>IF($F82="","",IF(기본설정!$C$9="일반과세자",$F82-$G82,0))</f>
        <v/>
      </c>
      <c r="I82" s="8" t="n"/>
      <c r="J82" s="8" t="n"/>
    </row>
    <row r="83">
      <c r="B83" s="13" t="n"/>
      <c r="C83" s="8" t="n"/>
      <c r="D83" s="8" t="n"/>
      <c r="E83" s="8" t="n"/>
      <c r="F83" s="11" t="n"/>
      <c r="G83" s="14">
        <f>IF($F83="","",ROUND($F83/1.1,0))</f>
        <v/>
      </c>
      <c r="H83" s="14">
        <f>IF($F83="","",IF(기본설정!$C$9="일반과세자",$F83-$G83,0))</f>
        <v/>
      </c>
      <c r="I83" s="8" t="n"/>
      <c r="J83" s="8" t="n"/>
    </row>
    <row r="84">
      <c r="B84" s="13" t="n"/>
      <c r="C84" s="8" t="n"/>
      <c r="D84" s="8" t="n"/>
      <c r="E84" s="8" t="n"/>
      <c r="F84" s="11" t="n"/>
      <c r="G84" s="14">
        <f>IF($F84="","",ROUND($F84/1.1,0))</f>
        <v/>
      </c>
      <c r="H84" s="14">
        <f>IF($F84="","",IF(기본설정!$C$9="일반과세자",$F84-$G84,0))</f>
        <v/>
      </c>
      <c r="I84" s="8" t="n"/>
      <c r="J84" s="8" t="n"/>
    </row>
    <row r="85">
      <c r="B85" s="13" t="n"/>
      <c r="C85" s="8" t="n"/>
      <c r="D85" s="8" t="n"/>
      <c r="E85" s="8" t="n"/>
      <c r="F85" s="11" t="n"/>
      <c r="G85" s="14">
        <f>IF($F85="","",ROUND($F85/1.1,0))</f>
        <v/>
      </c>
      <c r="H85" s="14">
        <f>IF($F85="","",IF(기본설정!$C$9="일반과세자",$F85-$G85,0))</f>
        <v/>
      </c>
      <c r="I85" s="8" t="n"/>
      <c r="J85" s="8" t="n"/>
    </row>
    <row r="86">
      <c r="B86" s="13" t="n"/>
      <c r="C86" s="8" t="n"/>
      <c r="D86" s="8" t="n"/>
      <c r="E86" s="8" t="n"/>
      <c r="F86" s="11" t="n"/>
      <c r="G86" s="14">
        <f>IF($F86="","",ROUND($F86/1.1,0))</f>
        <v/>
      </c>
      <c r="H86" s="14">
        <f>IF($F86="","",IF(기본설정!$C$9="일반과세자",$F86-$G86,0))</f>
        <v/>
      </c>
      <c r="I86" s="8" t="n"/>
      <c r="J86" s="8" t="n"/>
    </row>
    <row r="87">
      <c r="B87" s="13" t="n"/>
      <c r="C87" s="8" t="n"/>
      <c r="D87" s="8" t="n"/>
      <c r="E87" s="8" t="n"/>
      <c r="F87" s="11" t="n"/>
      <c r="G87" s="14">
        <f>IF($F87="","",ROUND($F87/1.1,0))</f>
        <v/>
      </c>
      <c r="H87" s="14">
        <f>IF($F87="","",IF(기본설정!$C$9="일반과세자",$F87-$G87,0))</f>
        <v/>
      </c>
      <c r="I87" s="8" t="n"/>
      <c r="J87" s="8" t="n"/>
    </row>
    <row r="88">
      <c r="B88" s="13" t="n"/>
      <c r="C88" s="8" t="n"/>
      <c r="D88" s="8" t="n"/>
      <c r="E88" s="8" t="n"/>
      <c r="F88" s="11" t="n"/>
      <c r="G88" s="14">
        <f>IF($F88="","",ROUND($F88/1.1,0))</f>
        <v/>
      </c>
      <c r="H88" s="14">
        <f>IF($F88="","",IF(기본설정!$C$9="일반과세자",$F88-$G88,0))</f>
        <v/>
      </c>
      <c r="I88" s="8" t="n"/>
      <c r="J88" s="8" t="n"/>
    </row>
    <row r="89">
      <c r="B89" s="13" t="n"/>
      <c r="C89" s="8" t="n"/>
      <c r="D89" s="8" t="n"/>
      <c r="E89" s="8" t="n"/>
      <c r="F89" s="11" t="n"/>
      <c r="G89" s="14">
        <f>IF($F89="","",ROUND($F89/1.1,0))</f>
        <v/>
      </c>
      <c r="H89" s="14">
        <f>IF($F89="","",IF(기본설정!$C$9="일반과세자",$F89-$G89,0))</f>
        <v/>
      </c>
      <c r="I89" s="8" t="n"/>
      <c r="J89" s="8" t="n"/>
    </row>
    <row r="90">
      <c r="B90" s="13" t="n"/>
      <c r="C90" s="8" t="n"/>
      <c r="D90" s="8" t="n"/>
      <c r="E90" s="8" t="n"/>
      <c r="F90" s="11" t="n"/>
      <c r="G90" s="14">
        <f>IF($F90="","",ROUND($F90/1.1,0))</f>
        <v/>
      </c>
      <c r="H90" s="14">
        <f>IF($F90="","",IF(기본설정!$C$9="일반과세자",$F90-$G90,0))</f>
        <v/>
      </c>
      <c r="I90" s="8" t="n"/>
      <c r="J90" s="8" t="n"/>
    </row>
    <row r="91">
      <c r="B91" s="13" t="n"/>
      <c r="C91" s="8" t="n"/>
      <c r="D91" s="8" t="n"/>
      <c r="E91" s="8" t="n"/>
      <c r="F91" s="11" t="n"/>
      <c r="G91" s="14">
        <f>IF($F91="","",ROUND($F91/1.1,0))</f>
        <v/>
      </c>
      <c r="H91" s="14">
        <f>IF($F91="","",IF(기본설정!$C$9="일반과세자",$F91-$G91,0))</f>
        <v/>
      </c>
      <c r="I91" s="8" t="n"/>
      <c r="J91" s="8" t="n"/>
    </row>
    <row r="92">
      <c r="B92" s="13" t="n"/>
      <c r="C92" s="8" t="n"/>
      <c r="D92" s="8" t="n"/>
      <c r="E92" s="8" t="n"/>
      <c r="F92" s="11" t="n"/>
      <c r="G92" s="14">
        <f>IF($F92="","",ROUND($F92/1.1,0))</f>
        <v/>
      </c>
      <c r="H92" s="14">
        <f>IF($F92="","",IF(기본설정!$C$9="일반과세자",$F92-$G92,0))</f>
        <v/>
      </c>
      <c r="I92" s="8" t="n"/>
      <c r="J92" s="8" t="n"/>
    </row>
    <row r="93">
      <c r="B93" s="13" t="n"/>
      <c r="C93" s="8" t="n"/>
      <c r="D93" s="8" t="n"/>
      <c r="E93" s="8" t="n"/>
      <c r="F93" s="11" t="n"/>
      <c r="G93" s="14">
        <f>IF($F93="","",ROUND($F93/1.1,0))</f>
        <v/>
      </c>
      <c r="H93" s="14">
        <f>IF($F93="","",IF(기본설정!$C$9="일반과세자",$F93-$G93,0))</f>
        <v/>
      </c>
      <c r="I93" s="8" t="n"/>
      <c r="J93" s="8" t="n"/>
    </row>
    <row r="94">
      <c r="B94" s="13" t="n"/>
      <c r="C94" s="8" t="n"/>
      <c r="D94" s="8" t="n"/>
      <c r="E94" s="8" t="n"/>
      <c r="F94" s="11" t="n"/>
      <c r="G94" s="14">
        <f>IF($F94="","",ROUND($F94/1.1,0))</f>
        <v/>
      </c>
      <c r="H94" s="14">
        <f>IF($F94="","",IF(기본설정!$C$9="일반과세자",$F94-$G94,0))</f>
        <v/>
      </c>
      <c r="I94" s="8" t="n"/>
      <c r="J94" s="8" t="n"/>
    </row>
    <row r="95">
      <c r="B95" s="13" t="n"/>
      <c r="C95" s="8" t="n"/>
      <c r="D95" s="8" t="n"/>
      <c r="E95" s="8" t="n"/>
      <c r="F95" s="11" t="n"/>
      <c r="G95" s="14">
        <f>IF($F95="","",ROUND($F95/1.1,0))</f>
        <v/>
      </c>
      <c r="H95" s="14">
        <f>IF($F95="","",IF(기본설정!$C$9="일반과세자",$F95-$G95,0))</f>
        <v/>
      </c>
      <c r="I95" s="8" t="n"/>
      <c r="J95" s="8" t="n"/>
    </row>
    <row r="96">
      <c r="B96" s="13" t="n"/>
      <c r="C96" s="8" t="n"/>
      <c r="D96" s="8" t="n"/>
      <c r="E96" s="8" t="n"/>
      <c r="F96" s="11" t="n"/>
      <c r="G96" s="14">
        <f>IF($F96="","",ROUND($F96/1.1,0))</f>
        <v/>
      </c>
      <c r="H96" s="14">
        <f>IF($F96="","",IF(기본설정!$C$9="일반과세자",$F96-$G96,0))</f>
        <v/>
      </c>
      <c r="I96" s="8" t="n"/>
      <c r="J96" s="8" t="n"/>
    </row>
    <row r="97">
      <c r="B97" s="13" t="n"/>
      <c r="C97" s="8" t="n"/>
      <c r="D97" s="8" t="n"/>
      <c r="E97" s="8" t="n"/>
      <c r="F97" s="11" t="n"/>
      <c r="G97" s="14">
        <f>IF($F97="","",ROUND($F97/1.1,0))</f>
        <v/>
      </c>
      <c r="H97" s="14">
        <f>IF($F97="","",IF(기본설정!$C$9="일반과세자",$F97-$G97,0))</f>
        <v/>
      </c>
      <c r="I97" s="8" t="n"/>
      <c r="J97" s="8" t="n"/>
    </row>
    <row r="98">
      <c r="B98" s="13" t="n"/>
      <c r="C98" s="8" t="n"/>
      <c r="D98" s="8" t="n"/>
      <c r="E98" s="8" t="n"/>
      <c r="F98" s="11" t="n"/>
      <c r="G98" s="14">
        <f>IF($F98="","",ROUND($F98/1.1,0))</f>
        <v/>
      </c>
      <c r="H98" s="14">
        <f>IF($F98="","",IF(기본설정!$C$9="일반과세자",$F98-$G98,0))</f>
        <v/>
      </c>
      <c r="I98" s="8" t="n"/>
      <c r="J98" s="8" t="n"/>
    </row>
    <row r="99">
      <c r="B99" s="13" t="n"/>
      <c r="C99" s="8" t="n"/>
      <c r="D99" s="8" t="n"/>
      <c r="E99" s="8" t="n"/>
      <c r="F99" s="11" t="n"/>
      <c r="G99" s="14">
        <f>IF($F99="","",ROUND($F99/1.1,0))</f>
        <v/>
      </c>
      <c r="H99" s="14">
        <f>IF($F99="","",IF(기본설정!$C$9="일반과세자",$F99-$G99,0))</f>
        <v/>
      </c>
      <c r="I99" s="8" t="n"/>
      <c r="J99" s="8" t="n"/>
    </row>
    <row r="100">
      <c r="B100" s="13" t="n"/>
      <c r="C100" s="8" t="n"/>
      <c r="D100" s="8" t="n"/>
      <c r="E100" s="8" t="n"/>
      <c r="F100" s="11" t="n"/>
      <c r="G100" s="14">
        <f>IF($F100="","",ROUND($F100/1.1,0))</f>
        <v/>
      </c>
      <c r="H100" s="14">
        <f>IF($F100="","",IF(기본설정!$C$9="일반과세자",$F100-$G100,0))</f>
        <v/>
      </c>
      <c r="I100" s="8" t="n"/>
      <c r="J100" s="8" t="n"/>
    </row>
    <row r="101">
      <c r="B101" s="13" t="n"/>
      <c r="C101" s="8" t="n"/>
      <c r="D101" s="8" t="n"/>
      <c r="E101" s="8" t="n"/>
      <c r="F101" s="11" t="n"/>
      <c r="G101" s="14">
        <f>IF($F101="","",ROUND($F101/1.1,0))</f>
        <v/>
      </c>
      <c r="H101" s="14">
        <f>IF($F101="","",IF(기본설정!$C$9="일반과세자",$F101-$G101,0))</f>
        <v/>
      </c>
      <c r="I101" s="8" t="n"/>
      <c r="J101" s="8" t="n"/>
    </row>
    <row r="102">
      <c r="B102" s="13" t="n"/>
      <c r="C102" s="8" t="n"/>
      <c r="D102" s="8" t="n"/>
      <c r="E102" s="8" t="n"/>
      <c r="F102" s="11" t="n"/>
      <c r="G102" s="14">
        <f>IF($F102="","",ROUND($F102/1.1,0))</f>
        <v/>
      </c>
      <c r="H102" s="14">
        <f>IF($F102="","",IF(기본설정!$C$9="일반과세자",$F102-$G102,0))</f>
        <v/>
      </c>
      <c r="I102" s="8" t="n"/>
      <c r="J102" s="8" t="n"/>
    </row>
    <row r="103">
      <c r="B103" s="13" t="n"/>
      <c r="C103" s="8" t="n"/>
      <c r="D103" s="8" t="n"/>
      <c r="E103" s="8" t="n"/>
      <c r="F103" s="11" t="n"/>
      <c r="G103" s="14">
        <f>IF($F103="","",ROUND($F103/1.1,0))</f>
        <v/>
      </c>
      <c r="H103" s="14">
        <f>IF($F103="","",IF(기본설정!$C$9="일반과세자",$F103-$G103,0))</f>
        <v/>
      </c>
      <c r="I103" s="8" t="n"/>
      <c r="J103" s="8" t="n"/>
    </row>
    <row r="104">
      <c r="B104" s="13" t="n"/>
      <c r="C104" s="8" t="n"/>
      <c r="D104" s="8" t="n"/>
      <c r="E104" s="8" t="n"/>
      <c r="F104" s="11" t="n"/>
      <c r="G104" s="14">
        <f>IF($F104="","",ROUND($F104/1.1,0))</f>
        <v/>
      </c>
      <c r="H104" s="14">
        <f>IF($F104="","",IF(기본설정!$C$9="일반과세자",$F104-$G104,0))</f>
        <v/>
      </c>
      <c r="I104" s="8" t="n"/>
      <c r="J104" s="8" t="n"/>
    </row>
    <row r="105">
      <c r="B105" s="13" t="n"/>
      <c r="C105" s="8" t="n"/>
      <c r="D105" s="8" t="n"/>
      <c r="E105" s="8" t="n"/>
      <c r="F105" s="11" t="n"/>
      <c r="G105" s="14">
        <f>IF($F105="","",ROUND($F105/1.1,0))</f>
        <v/>
      </c>
      <c r="H105" s="14">
        <f>IF($F105="","",IF(기본설정!$C$9="일반과세자",$F105-$G105,0))</f>
        <v/>
      </c>
      <c r="I105" s="8" t="n"/>
      <c r="J105" s="8" t="n"/>
    </row>
    <row r="106">
      <c r="B106" s="13" t="n"/>
      <c r="C106" s="8" t="n"/>
      <c r="D106" s="8" t="n"/>
      <c r="E106" s="8" t="n"/>
      <c r="F106" s="11" t="n"/>
      <c r="G106" s="14">
        <f>IF($F106="","",ROUND($F106/1.1,0))</f>
        <v/>
      </c>
      <c r="H106" s="14">
        <f>IF($F106="","",IF(기본설정!$C$9="일반과세자",$F106-$G106,0))</f>
        <v/>
      </c>
      <c r="I106" s="8" t="n"/>
      <c r="J106" s="8" t="n"/>
    </row>
    <row r="107">
      <c r="B107" s="13" t="n"/>
      <c r="C107" s="8" t="n"/>
      <c r="D107" s="8" t="n"/>
      <c r="E107" s="8" t="n"/>
      <c r="F107" s="11" t="n"/>
      <c r="G107" s="14">
        <f>IF($F107="","",ROUND($F107/1.1,0))</f>
        <v/>
      </c>
      <c r="H107" s="14">
        <f>IF($F107="","",IF(기본설정!$C$9="일반과세자",$F107-$G107,0))</f>
        <v/>
      </c>
      <c r="I107" s="8" t="n"/>
      <c r="J107" s="8" t="n"/>
    </row>
    <row r="108">
      <c r="B108" s="13" t="n"/>
      <c r="C108" s="8" t="n"/>
      <c r="D108" s="8" t="n"/>
      <c r="E108" s="8" t="n"/>
      <c r="F108" s="11" t="n"/>
      <c r="G108" s="14">
        <f>IF($F108="","",ROUND($F108/1.1,0))</f>
        <v/>
      </c>
      <c r="H108" s="14">
        <f>IF($F108="","",IF(기본설정!$C$9="일반과세자",$F108-$G108,0))</f>
        <v/>
      </c>
      <c r="I108" s="8" t="n"/>
      <c r="J108" s="8" t="n"/>
    </row>
    <row r="109">
      <c r="B109" s="13" t="n"/>
      <c r="C109" s="8" t="n"/>
      <c r="D109" s="8" t="n"/>
      <c r="E109" s="8" t="n"/>
      <c r="F109" s="11" t="n"/>
      <c r="G109" s="14">
        <f>IF($F109="","",ROUND($F109/1.1,0))</f>
        <v/>
      </c>
      <c r="H109" s="14">
        <f>IF($F109="","",IF(기본설정!$C$9="일반과세자",$F109-$G109,0))</f>
        <v/>
      </c>
      <c r="I109" s="8" t="n"/>
      <c r="J109" s="8" t="n"/>
    </row>
    <row r="110">
      <c r="B110" s="13" t="n"/>
      <c r="C110" s="8" t="n"/>
      <c r="D110" s="8" t="n"/>
      <c r="E110" s="8" t="n"/>
      <c r="F110" s="11" t="n"/>
      <c r="G110" s="14">
        <f>IF($F110="","",ROUND($F110/1.1,0))</f>
        <v/>
      </c>
      <c r="H110" s="14">
        <f>IF($F110="","",IF(기본설정!$C$9="일반과세자",$F110-$G110,0))</f>
        <v/>
      </c>
      <c r="I110" s="8" t="n"/>
      <c r="J110" s="8" t="n"/>
    </row>
    <row r="111">
      <c r="B111" s="13" t="n"/>
      <c r="C111" s="8" t="n"/>
      <c r="D111" s="8" t="n"/>
      <c r="E111" s="8" t="n"/>
      <c r="F111" s="11" t="n"/>
      <c r="G111" s="14">
        <f>IF($F111="","",ROUND($F111/1.1,0))</f>
        <v/>
      </c>
      <c r="H111" s="14">
        <f>IF($F111="","",IF(기본설정!$C$9="일반과세자",$F111-$G111,0))</f>
        <v/>
      </c>
      <c r="I111" s="8" t="n"/>
      <c r="J111" s="8" t="n"/>
    </row>
    <row r="112">
      <c r="B112" s="13" t="n"/>
      <c r="C112" s="8" t="n"/>
      <c r="D112" s="8" t="n"/>
      <c r="E112" s="8" t="n"/>
      <c r="F112" s="11" t="n"/>
      <c r="G112" s="14">
        <f>IF($F112="","",ROUND($F112/1.1,0))</f>
        <v/>
      </c>
      <c r="H112" s="14">
        <f>IF($F112="","",IF(기본설정!$C$9="일반과세자",$F112-$G112,0))</f>
        <v/>
      </c>
      <c r="I112" s="8" t="n"/>
      <c r="J112" s="8" t="n"/>
    </row>
    <row r="113">
      <c r="B113" s="13" t="n"/>
      <c r="C113" s="8" t="n"/>
      <c r="D113" s="8" t="n"/>
      <c r="E113" s="8" t="n"/>
      <c r="F113" s="11" t="n"/>
      <c r="G113" s="14">
        <f>IF($F113="","",ROUND($F113/1.1,0))</f>
        <v/>
      </c>
      <c r="H113" s="14">
        <f>IF($F113="","",IF(기본설정!$C$9="일반과세자",$F113-$G113,0))</f>
        <v/>
      </c>
      <c r="I113" s="8" t="n"/>
      <c r="J113" s="8" t="n"/>
    </row>
    <row r="114">
      <c r="B114" s="13" t="n"/>
      <c r="C114" s="8" t="n"/>
      <c r="D114" s="8" t="n"/>
      <c r="E114" s="8" t="n"/>
      <c r="F114" s="11" t="n"/>
      <c r="G114" s="14">
        <f>IF($F114="","",ROUND($F114/1.1,0))</f>
        <v/>
      </c>
      <c r="H114" s="14">
        <f>IF($F114="","",IF(기본설정!$C$9="일반과세자",$F114-$G114,0))</f>
        <v/>
      </c>
      <c r="I114" s="8" t="n"/>
      <c r="J114" s="8" t="n"/>
    </row>
    <row r="115">
      <c r="B115" s="13" t="n"/>
      <c r="C115" s="8" t="n"/>
      <c r="D115" s="8" t="n"/>
      <c r="E115" s="8" t="n"/>
      <c r="F115" s="11" t="n"/>
      <c r="G115" s="14">
        <f>IF($F115="","",ROUND($F115/1.1,0))</f>
        <v/>
      </c>
      <c r="H115" s="14">
        <f>IF($F115="","",IF(기본설정!$C$9="일반과세자",$F115-$G115,0))</f>
        <v/>
      </c>
      <c r="I115" s="8" t="n"/>
      <c r="J115" s="8" t="n"/>
    </row>
    <row r="116">
      <c r="B116" s="13" t="n"/>
      <c r="C116" s="8" t="n"/>
      <c r="D116" s="8" t="n"/>
      <c r="E116" s="8" t="n"/>
      <c r="F116" s="11" t="n"/>
      <c r="G116" s="14">
        <f>IF($F116="","",ROUND($F116/1.1,0))</f>
        <v/>
      </c>
      <c r="H116" s="14">
        <f>IF($F116="","",IF(기본설정!$C$9="일반과세자",$F116-$G116,0))</f>
        <v/>
      </c>
      <c r="I116" s="8" t="n"/>
      <c r="J116" s="8" t="n"/>
    </row>
    <row r="117">
      <c r="B117" s="13" t="n"/>
      <c r="C117" s="8" t="n"/>
      <c r="D117" s="8" t="n"/>
      <c r="E117" s="8" t="n"/>
      <c r="F117" s="11" t="n"/>
      <c r="G117" s="14">
        <f>IF($F117="","",ROUND($F117/1.1,0))</f>
        <v/>
      </c>
      <c r="H117" s="14">
        <f>IF($F117="","",IF(기본설정!$C$9="일반과세자",$F117-$G117,0))</f>
        <v/>
      </c>
      <c r="I117" s="8" t="n"/>
      <c r="J117" s="8" t="n"/>
    </row>
    <row r="118">
      <c r="B118" s="13" t="n"/>
      <c r="C118" s="8" t="n"/>
      <c r="D118" s="8" t="n"/>
      <c r="E118" s="8" t="n"/>
      <c r="F118" s="11" t="n"/>
      <c r="G118" s="14">
        <f>IF($F118="","",ROUND($F118/1.1,0))</f>
        <v/>
      </c>
      <c r="H118" s="14">
        <f>IF($F118="","",IF(기본설정!$C$9="일반과세자",$F118-$G118,0))</f>
        <v/>
      </c>
      <c r="I118" s="8" t="n"/>
      <c r="J118" s="8" t="n"/>
    </row>
    <row r="119">
      <c r="B119" s="13" t="n"/>
      <c r="C119" s="8" t="n"/>
      <c r="D119" s="8" t="n"/>
      <c r="E119" s="8" t="n"/>
      <c r="F119" s="11" t="n"/>
      <c r="G119" s="14">
        <f>IF($F119="","",ROUND($F119/1.1,0))</f>
        <v/>
      </c>
      <c r="H119" s="14">
        <f>IF($F119="","",IF(기본설정!$C$9="일반과세자",$F119-$G119,0))</f>
        <v/>
      </c>
      <c r="I119" s="8" t="n"/>
      <c r="J119" s="8" t="n"/>
    </row>
    <row r="120">
      <c r="B120" s="13" t="n"/>
      <c r="C120" s="8" t="n"/>
      <c r="D120" s="8" t="n"/>
      <c r="E120" s="8" t="n"/>
      <c r="F120" s="11" t="n"/>
      <c r="G120" s="14">
        <f>IF($F120="","",ROUND($F120/1.1,0))</f>
        <v/>
      </c>
      <c r="H120" s="14">
        <f>IF($F120="","",IF(기본설정!$C$9="일반과세자",$F120-$G120,0))</f>
        <v/>
      </c>
      <c r="I120" s="8" t="n"/>
      <c r="J120" s="8" t="n"/>
    </row>
    <row r="121">
      <c r="B121" s="13" t="n"/>
      <c r="C121" s="8" t="n"/>
      <c r="D121" s="8" t="n"/>
      <c r="E121" s="8" t="n"/>
      <c r="F121" s="11" t="n"/>
      <c r="G121" s="14">
        <f>IF($F121="","",ROUND($F121/1.1,0))</f>
        <v/>
      </c>
      <c r="H121" s="14">
        <f>IF($F121="","",IF(기본설정!$C$9="일반과세자",$F121-$G121,0))</f>
        <v/>
      </c>
      <c r="I121" s="8" t="n"/>
      <c r="J121" s="8" t="n"/>
    </row>
    <row r="122">
      <c r="B122" s="13" t="n"/>
      <c r="C122" s="8" t="n"/>
      <c r="D122" s="8" t="n"/>
      <c r="E122" s="8" t="n"/>
      <c r="F122" s="11" t="n"/>
      <c r="G122" s="14">
        <f>IF($F122="","",ROUND($F122/1.1,0))</f>
        <v/>
      </c>
      <c r="H122" s="14">
        <f>IF($F122="","",IF(기본설정!$C$9="일반과세자",$F122-$G122,0))</f>
        <v/>
      </c>
      <c r="I122" s="8" t="n"/>
      <c r="J122" s="8" t="n"/>
    </row>
    <row r="123">
      <c r="B123" s="13" t="n"/>
      <c r="C123" s="8" t="n"/>
      <c r="D123" s="8" t="n"/>
      <c r="E123" s="8" t="n"/>
      <c r="F123" s="11" t="n"/>
      <c r="G123" s="14">
        <f>IF($F123="","",ROUND($F123/1.1,0))</f>
        <v/>
      </c>
      <c r="H123" s="14">
        <f>IF($F123="","",IF(기본설정!$C$9="일반과세자",$F123-$G123,0))</f>
        <v/>
      </c>
      <c r="I123" s="8" t="n"/>
      <c r="J123" s="8" t="n"/>
    </row>
    <row r="124">
      <c r="B124" s="13" t="n"/>
      <c r="C124" s="8" t="n"/>
      <c r="D124" s="8" t="n"/>
      <c r="E124" s="8" t="n"/>
      <c r="F124" s="11" t="n"/>
      <c r="G124" s="14">
        <f>IF($F124="","",ROUND($F124/1.1,0))</f>
        <v/>
      </c>
      <c r="H124" s="14">
        <f>IF($F124="","",IF(기본설정!$C$9="일반과세자",$F124-$G124,0))</f>
        <v/>
      </c>
      <c r="I124" s="8" t="n"/>
      <c r="J124" s="8" t="n"/>
    </row>
    <row r="125">
      <c r="B125" s="13" t="n"/>
      <c r="C125" s="8" t="n"/>
      <c r="D125" s="8" t="n"/>
      <c r="E125" s="8" t="n"/>
      <c r="F125" s="11" t="n"/>
      <c r="G125" s="14">
        <f>IF($F125="","",ROUND($F125/1.1,0))</f>
        <v/>
      </c>
      <c r="H125" s="14">
        <f>IF($F125="","",IF(기본설정!$C$9="일반과세자",$F125-$G125,0))</f>
        <v/>
      </c>
      <c r="I125" s="8" t="n"/>
      <c r="J125" s="8" t="n"/>
    </row>
    <row r="126">
      <c r="B126" s="13" t="n"/>
      <c r="C126" s="8" t="n"/>
      <c r="D126" s="8" t="n"/>
      <c r="E126" s="8" t="n"/>
      <c r="F126" s="11" t="n"/>
      <c r="G126" s="14">
        <f>IF($F126="","",ROUND($F126/1.1,0))</f>
        <v/>
      </c>
      <c r="H126" s="14">
        <f>IF($F126="","",IF(기본설정!$C$9="일반과세자",$F126-$G126,0))</f>
        <v/>
      </c>
      <c r="I126" s="8" t="n"/>
      <c r="J126" s="8" t="n"/>
    </row>
    <row r="127">
      <c r="B127" s="13" t="n"/>
      <c r="C127" s="8" t="n"/>
      <c r="D127" s="8" t="n"/>
      <c r="E127" s="8" t="n"/>
      <c r="F127" s="11" t="n"/>
      <c r="G127" s="14">
        <f>IF($F127="","",ROUND($F127/1.1,0))</f>
        <v/>
      </c>
      <c r="H127" s="14">
        <f>IF($F127="","",IF(기본설정!$C$9="일반과세자",$F127-$G127,0))</f>
        <v/>
      </c>
      <c r="I127" s="8" t="n"/>
      <c r="J127" s="8" t="n"/>
    </row>
    <row r="128">
      <c r="B128" s="13" t="n"/>
      <c r="C128" s="8" t="n"/>
      <c r="D128" s="8" t="n"/>
      <c r="E128" s="8" t="n"/>
      <c r="F128" s="11" t="n"/>
      <c r="G128" s="14">
        <f>IF($F128="","",ROUND($F128/1.1,0))</f>
        <v/>
      </c>
      <c r="H128" s="14">
        <f>IF($F128="","",IF(기본설정!$C$9="일반과세자",$F128-$G128,0))</f>
        <v/>
      </c>
      <c r="I128" s="8" t="n"/>
      <c r="J128" s="8" t="n"/>
    </row>
    <row r="129">
      <c r="B129" s="13" t="n"/>
      <c r="C129" s="8" t="n"/>
      <c r="D129" s="8" t="n"/>
      <c r="E129" s="8" t="n"/>
      <c r="F129" s="11" t="n"/>
      <c r="G129" s="14">
        <f>IF($F129="","",ROUND($F129/1.1,0))</f>
        <v/>
      </c>
      <c r="H129" s="14">
        <f>IF($F129="","",IF(기본설정!$C$9="일반과세자",$F129-$G129,0))</f>
        <v/>
      </c>
      <c r="I129" s="8" t="n"/>
      <c r="J129" s="8" t="n"/>
    </row>
    <row r="130">
      <c r="B130" s="13" t="n"/>
      <c r="C130" s="8" t="n"/>
      <c r="D130" s="8" t="n"/>
      <c r="E130" s="8" t="n"/>
      <c r="F130" s="11" t="n"/>
      <c r="G130" s="14">
        <f>IF($F130="","",ROUND($F130/1.1,0))</f>
        <v/>
      </c>
      <c r="H130" s="14">
        <f>IF($F130="","",IF(기본설정!$C$9="일반과세자",$F130-$G130,0))</f>
        <v/>
      </c>
      <c r="I130" s="8" t="n"/>
      <c r="J130" s="8" t="n"/>
    </row>
    <row r="131">
      <c r="B131" s="13" t="n"/>
      <c r="C131" s="8" t="n"/>
      <c r="D131" s="8" t="n"/>
      <c r="E131" s="8" t="n"/>
      <c r="F131" s="11" t="n"/>
      <c r="G131" s="14">
        <f>IF($F131="","",ROUND($F131/1.1,0))</f>
        <v/>
      </c>
      <c r="H131" s="14">
        <f>IF($F131="","",IF(기본설정!$C$9="일반과세자",$F131-$G131,0))</f>
        <v/>
      </c>
      <c r="I131" s="8" t="n"/>
      <c r="J131" s="8" t="n"/>
    </row>
    <row r="132">
      <c r="B132" s="13" t="n"/>
      <c r="C132" s="8" t="n"/>
      <c r="D132" s="8" t="n"/>
      <c r="E132" s="8" t="n"/>
      <c r="F132" s="11" t="n"/>
      <c r="G132" s="14">
        <f>IF($F132="","",ROUND($F132/1.1,0))</f>
        <v/>
      </c>
      <c r="H132" s="14">
        <f>IF($F132="","",IF(기본설정!$C$9="일반과세자",$F132-$G132,0))</f>
        <v/>
      </c>
      <c r="I132" s="8" t="n"/>
      <c r="J132" s="8" t="n"/>
    </row>
    <row r="133">
      <c r="B133" s="13" t="n"/>
      <c r="C133" s="8" t="n"/>
      <c r="D133" s="8" t="n"/>
      <c r="E133" s="8" t="n"/>
      <c r="F133" s="11" t="n"/>
      <c r="G133" s="14">
        <f>IF($F133="","",ROUND($F133/1.1,0))</f>
        <v/>
      </c>
      <c r="H133" s="14">
        <f>IF($F133="","",IF(기본설정!$C$9="일반과세자",$F133-$G133,0))</f>
        <v/>
      </c>
      <c r="I133" s="8" t="n"/>
      <c r="J133" s="8" t="n"/>
    </row>
    <row r="134">
      <c r="B134" s="13" t="n"/>
      <c r="C134" s="8" t="n"/>
      <c r="D134" s="8" t="n"/>
      <c r="E134" s="8" t="n"/>
      <c r="F134" s="11" t="n"/>
      <c r="G134" s="14">
        <f>IF($F134="","",ROUND($F134/1.1,0))</f>
        <v/>
      </c>
      <c r="H134" s="14">
        <f>IF($F134="","",IF(기본설정!$C$9="일반과세자",$F134-$G134,0))</f>
        <v/>
      </c>
      <c r="I134" s="8" t="n"/>
      <c r="J134" s="8" t="n"/>
    </row>
    <row r="135">
      <c r="B135" s="13" t="n"/>
      <c r="C135" s="8" t="n"/>
      <c r="D135" s="8" t="n"/>
      <c r="E135" s="8" t="n"/>
      <c r="F135" s="11" t="n"/>
      <c r="G135" s="14">
        <f>IF($F135="","",ROUND($F135/1.1,0))</f>
        <v/>
      </c>
      <c r="H135" s="14">
        <f>IF($F135="","",IF(기본설정!$C$9="일반과세자",$F135-$G135,0))</f>
        <v/>
      </c>
      <c r="I135" s="8" t="n"/>
      <c r="J135" s="8" t="n"/>
    </row>
    <row r="136">
      <c r="B136" s="13" t="n"/>
      <c r="C136" s="8" t="n"/>
      <c r="D136" s="8" t="n"/>
      <c r="E136" s="8" t="n"/>
      <c r="F136" s="11" t="n"/>
      <c r="G136" s="14">
        <f>IF($F136="","",ROUND($F136/1.1,0))</f>
        <v/>
      </c>
      <c r="H136" s="14">
        <f>IF($F136="","",IF(기본설정!$C$9="일반과세자",$F136-$G136,0))</f>
        <v/>
      </c>
      <c r="I136" s="8" t="n"/>
      <c r="J136" s="8" t="n"/>
    </row>
    <row r="137">
      <c r="B137" s="13" t="n"/>
      <c r="C137" s="8" t="n"/>
      <c r="D137" s="8" t="n"/>
      <c r="E137" s="8" t="n"/>
      <c r="F137" s="11" t="n"/>
      <c r="G137" s="14">
        <f>IF($F137="","",ROUND($F137/1.1,0))</f>
        <v/>
      </c>
      <c r="H137" s="14">
        <f>IF($F137="","",IF(기본설정!$C$9="일반과세자",$F137-$G137,0))</f>
        <v/>
      </c>
      <c r="I137" s="8" t="n"/>
      <c r="J137" s="8" t="n"/>
    </row>
    <row r="138">
      <c r="B138" s="13" t="n"/>
      <c r="C138" s="8" t="n"/>
      <c r="D138" s="8" t="n"/>
      <c r="E138" s="8" t="n"/>
      <c r="F138" s="11" t="n"/>
      <c r="G138" s="14">
        <f>IF($F138="","",ROUND($F138/1.1,0))</f>
        <v/>
      </c>
      <c r="H138" s="14">
        <f>IF($F138="","",IF(기본설정!$C$9="일반과세자",$F138-$G138,0))</f>
        <v/>
      </c>
      <c r="I138" s="8" t="n"/>
      <c r="J138" s="8" t="n"/>
    </row>
    <row r="139">
      <c r="B139" s="13" t="n"/>
      <c r="C139" s="8" t="n"/>
      <c r="D139" s="8" t="n"/>
      <c r="E139" s="8" t="n"/>
      <c r="F139" s="11" t="n"/>
      <c r="G139" s="14">
        <f>IF($F139="","",ROUND($F139/1.1,0))</f>
        <v/>
      </c>
      <c r="H139" s="14">
        <f>IF($F139="","",IF(기본설정!$C$9="일반과세자",$F139-$G139,0))</f>
        <v/>
      </c>
      <c r="I139" s="8" t="n"/>
      <c r="J139" s="8" t="n"/>
    </row>
    <row r="140">
      <c r="B140" s="13" t="n"/>
      <c r="C140" s="8" t="n"/>
      <c r="D140" s="8" t="n"/>
      <c r="E140" s="8" t="n"/>
      <c r="F140" s="11" t="n"/>
      <c r="G140" s="14">
        <f>IF($F140="","",ROUND($F140/1.1,0))</f>
        <v/>
      </c>
      <c r="H140" s="14">
        <f>IF($F140="","",IF(기본설정!$C$9="일반과세자",$F140-$G140,0))</f>
        <v/>
      </c>
      <c r="I140" s="8" t="n"/>
      <c r="J140" s="8" t="n"/>
    </row>
    <row r="141">
      <c r="B141" s="13" t="n"/>
      <c r="C141" s="8" t="n"/>
      <c r="D141" s="8" t="n"/>
      <c r="E141" s="8" t="n"/>
      <c r="F141" s="11" t="n"/>
      <c r="G141" s="14">
        <f>IF($F141="","",ROUND($F141/1.1,0))</f>
        <v/>
      </c>
      <c r="H141" s="14">
        <f>IF($F141="","",IF(기본설정!$C$9="일반과세자",$F141-$G141,0))</f>
        <v/>
      </c>
      <c r="I141" s="8" t="n"/>
      <c r="J141" s="8" t="n"/>
    </row>
    <row r="142">
      <c r="B142" s="13" t="n"/>
      <c r="C142" s="8" t="n"/>
      <c r="D142" s="8" t="n"/>
      <c r="E142" s="8" t="n"/>
      <c r="F142" s="11" t="n"/>
      <c r="G142" s="14">
        <f>IF($F142="","",ROUND($F142/1.1,0))</f>
        <v/>
      </c>
      <c r="H142" s="14">
        <f>IF($F142="","",IF(기본설정!$C$9="일반과세자",$F142-$G142,0))</f>
        <v/>
      </c>
      <c r="I142" s="8" t="n"/>
      <c r="J142" s="8" t="n"/>
    </row>
    <row r="143">
      <c r="B143" s="13" t="n"/>
      <c r="C143" s="8" t="n"/>
      <c r="D143" s="8" t="n"/>
      <c r="E143" s="8" t="n"/>
      <c r="F143" s="11" t="n"/>
      <c r="G143" s="14">
        <f>IF($F143="","",ROUND($F143/1.1,0))</f>
        <v/>
      </c>
      <c r="H143" s="14">
        <f>IF($F143="","",IF(기본설정!$C$9="일반과세자",$F143-$G143,0))</f>
        <v/>
      </c>
      <c r="I143" s="8" t="n"/>
      <c r="J143" s="8" t="n"/>
    </row>
    <row r="144">
      <c r="B144" s="13" t="n"/>
      <c r="C144" s="8" t="n"/>
      <c r="D144" s="8" t="n"/>
      <c r="E144" s="8" t="n"/>
      <c r="F144" s="11" t="n"/>
      <c r="G144" s="14">
        <f>IF($F144="","",ROUND($F144/1.1,0))</f>
        <v/>
      </c>
      <c r="H144" s="14">
        <f>IF($F144="","",IF(기본설정!$C$9="일반과세자",$F144-$G144,0))</f>
        <v/>
      </c>
      <c r="I144" s="8" t="n"/>
      <c r="J144" s="8" t="n"/>
    </row>
    <row r="145">
      <c r="B145" s="13" t="n"/>
      <c r="C145" s="8" t="n"/>
      <c r="D145" s="8" t="n"/>
      <c r="E145" s="8" t="n"/>
      <c r="F145" s="11" t="n"/>
      <c r="G145" s="14">
        <f>IF($F145="","",ROUND($F145/1.1,0))</f>
        <v/>
      </c>
      <c r="H145" s="14">
        <f>IF($F145="","",IF(기본설정!$C$9="일반과세자",$F145-$G145,0))</f>
        <v/>
      </c>
      <c r="I145" s="8" t="n"/>
      <c r="J145" s="8" t="n"/>
    </row>
    <row r="146">
      <c r="B146" s="13" t="n"/>
      <c r="C146" s="8" t="n"/>
      <c r="D146" s="8" t="n"/>
      <c r="E146" s="8" t="n"/>
      <c r="F146" s="11" t="n"/>
      <c r="G146" s="14">
        <f>IF($F146="","",ROUND($F146/1.1,0))</f>
        <v/>
      </c>
      <c r="H146" s="14">
        <f>IF($F146="","",IF(기본설정!$C$9="일반과세자",$F146-$G146,0))</f>
        <v/>
      </c>
      <c r="I146" s="8" t="n"/>
      <c r="J146" s="8" t="n"/>
    </row>
    <row r="147">
      <c r="B147" s="13" t="n"/>
      <c r="C147" s="8" t="n"/>
      <c r="D147" s="8" t="n"/>
      <c r="E147" s="8" t="n"/>
      <c r="F147" s="11" t="n"/>
      <c r="G147" s="14">
        <f>IF($F147="","",ROUND($F147/1.1,0))</f>
        <v/>
      </c>
      <c r="H147" s="14">
        <f>IF($F147="","",IF(기본설정!$C$9="일반과세자",$F147-$G147,0))</f>
        <v/>
      </c>
      <c r="I147" s="8" t="n"/>
      <c r="J147" s="8" t="n"/>
    </row>
    <row r="148">
      <c r="B148" s="13" t="n"/>
      <c r="C148" s="8" t="n"/>
      <c r="D148" s="8" t="n"/>
      <c r="E148" s="8" t="n"/>
      <c r="F148" s="11" t="n"/>
      <c r="G148" s="14">
        <f>IF($F148="","",ROUND($F148/1.1,0))</f>
        <v/>
      </c>
      <c r="H148" s="14">
        <f>IF($F148="","",IF(기본설정!$C$9="일반과세자",$F148-$G148,0))</f>
        <v/>
      </c>
      <c r="I148" s="8" t="n"/>
      <c r="J148" s="8" t="n"/>
    </row>
    <row r="149">
      <c r="B149" s="13" t="n"/>
      <c r="C149" s="8" t="n"/>
      <c r="D149" s="8" t="n"/>
      <c r="E149" s="8" t="n"/>
      <c r="F149" s="11" t="n"/>
      <c r="G149" s="14">
        <f>IF($F149="","",ROUND($F149/1.1,0))</f>
        <v/>
      </c>
      <c r="H149" s="14">
        <f>IF($F149="","",IF(기본설정!$C$9="일반과세자",$F149-$G149,0))</f>
        <v/>
      </c>
      <c r="I149" s="8" t="n"/>
      <c r="J149" s="8" t="n"/>
    </row>
    <row r="150">
      <c r="B150" s="13" t="n"/>
      <c r="C150" s="8" t="n"/>
      <c r="D150" s="8" t="n"/>
      <c r="E150" s="8" t="n"/>
      <c r="F150" s="11" t="n"/>
      <c r="G150" s="14">
        <f>IF($F150="","",ROUND($F150/1.1,0))</f>
        <v/>
      </c>
      <c r="H150" s="14">
        <f>IF($F150="","",IF(기본설정!$C$9="일반과세자",$F150-$G150,0))</f>
        <v/>
      </c>
      <c r="I150" s="8" t="n"/>
      <c r="J150" s="8" t="n"/>
    </row>
    <row r="151">
      <c r="B151" s="13" t="n"/>
      <c r="C151" s="8" t="n"/>
      <c r="D151" s="8" t="n"/>
      <c r="E151" s="8" t="n"/>
      <c r="F151" s="11" t="n"/>
      <c r="G151" s="14">
        <f>IF($F151="","",ROUND($F151/1.1,0))</f>
        <v/>
      </c>
      <c r="H151" s="14">
        <f>IF($F151="","",IF(기본설정!$C$9="일반과세자",$F151-$G151,0))</f>
        <v/>
      </c>
      <c r="I151" s="8" t="n"/>
      <c r="J151" s="8" t="n"/>
    </row>
    <row r="152">
      <c r="B152" s="13" t="n"/>
      <c r="C152" s="8" t="n"/>
      <c r="D152" s="8" t="n"/>
      <c r="E152" s="8" t="n"/>
      <c r="F152" s="11" t="n"/>
      <c r="G152" s="14">
        <f>IF($F152="","",ROUND($F152/1.1,0))</f>
        <v/>
      </c>
      <c r="H152" s="14">
        <f>IF($F152="","",IF(기본설정!$C$9="일반과세자",$F152-$G152,0))</f>
        <v/>
      </c>
      <c r="I152" s="8" t="n"/>
      <c r="J152" s="8" t="n"/>
    </row>
    <row r="153">
      <c r="B153" s="13" t="n"/>
      <c r="C153" s="8" t="n"/>
      <c r="D153" s="8" t="n"/>
      <c r="E153" s="8" t="n"/>
      <c r="F153" s="11" t="n"/>
      <c r="G153" s="14">
        <f>IF($F153="","",ROUND($F153/1.1,0))</f>
        <v/>
      </c>
      <c r="H153" s="14">
        <f>IF($F153="","",IF(기본설정!$C$9="일반과세자",$F153-$G153,0))</f>
        <v/>
      </c>
      <c r="I153" s="8" t="n"/>
      <c r="J153" s="8" t="n"/>
    </row>
    <row r="154">
      <c r="B154" s="13" t="n"/>
      <c r="C154" s="8" t="n"/>
      <c r="D154" s="8" t="n"/>
      <c r="E154" s="8" t="n"/>
      <c r="F154" s="11" t="n"/>
      <c r="G154" s="14">
        <f>IF($F154="","",ROUND($F154/1.1,0))</f>
        <v/>
      </c>
      <c r="H154" s="14">
        <f>IF($F154="","",IF(기본설정!$C$9="일반과세자",$F154-$G154,0))</f>
        <v/>
      </c>
      <c r="I154" s="8" t="n"/>
      <c r="J154" s="8" t="n"/>
    </row>
    <row r="155">
      <c r="B155" s="13" t="n"/>
      <c r="C155" s="8" t="n"/>
      <c r="D155" s="8" t="n"/>
      <c r="E155" s="8" t="n"/>
      <c r="F155" s="11" t="n"/>
      <c r="G155" s="14">
        <f>IF($F155="","",ROUND($F155/1.1,0))</f>
        <v/>
      </c>
      <c r="H155" s="14">
        <f>IF($F155="","",IF(기본설정!$C$9="일반과세자",$F155-$G155,0))</f>
        <v/>
      </c>
      <c r="I155" s="8" t="n"/>
      <c r="J155" s="8" t="n"/>
    </row>
    <row r="156">
      <c r="B156" s="13" t="n"/>
      <c r="C156" s="8" t="n"/>
      <c r="D156" s="8" t="n"/>
      <c r="E156" s="8" t="n"/>
      <c r="F156" s="11" t="n"/>
      <c r="G156" s="14">
        <f>IF($F156="","",ROUND($F156/1.1,0))</f>
        <v/>
      </c>
      <c r="H156" s="14">
        <f>IF($F156="","",IF(기본설정!$C$9="일반과세자",$F156-$G156,0))</f>
        <v/>
      </c>
      <c r="I156" s="8" t="n"/>
      <c r="J156" s="8" t="n"/>
    </row>
    <row r="157">
      <c r="B157" s="13" t="n"/>
      <c r="C157" s="8" t="n"/>
      <c r="D157" s="8" t="n"/>
      <c r="E157" s="8" t="n"/>
      <c r="F157" s="11" t="n"/>
      <c r="G157" s="14">
        <f>IF($F157="","",ROUND($F157/1.1,0))</f>
        <v/>
      </c>
      <c r="H157" s="14">
        <f>IF($F157="","",IF(기본설정!$C$9="일반과세자",$F157-$G157,0))</f>
        <v/>
      </c>
      <c r="I157" s="8" t="n"/>
      <c r="J157" s="8" t="n"/>
    </row>
    <row r="158">
      <c r="B158" s="13" t="n"/>
      <c r="C158" s="8" t="n"/>
      <c r="D158" s="8" t="n"/>
      <c r="E158" s="8" t="n"/>
      <c r="F158" s="11" t="n"/>
      <c r="G158" s="14">
        <f>IF($F158="","",ROUND($F158/1.1,0))</f>
        <v/>
      </c>
      <c r="H158" s="14">
        <f>IF($F158="","",IF(기본설정!$C$9="일반과세자",$F158-$G158,0))</f>
        <v/>
      </c>
      <c r="I158" s="8" t="n"/>
      <c r="J158" s="8" t="n"/>
    </row>
    <row r="159">
      <c r="B159" s="13" t="n"/>
      <c r="C159" s="8" t="n"/>
      <c r="D159" s="8" t="n"/>
      <c r="E159" s="8" t="n"/>
      <c r="F159" s="11" t="n"/>
      <c r="G159" s="14">
        <f>IF($F159="","",ROUND($F159/1.1,0))</f>
        <v/>
      </c>
      <c r="H159" s="14">
        <f>IF($F159="","",IF(기본설정!$C$9="일반과세자",$F159-$G159,0))</f>
        <v/>
      </c>
      <c r="I159" s="8" t="n"/>
      <c r="J159" s="8" t="n"/>
    </row>
    <row r="160">
      <c r="B160" s="13" t="n"/>
      <c r="C160" s="8" t="n"/>
      <c r="D160" s="8" t="n"/>
      <c r="E160" s="8" t="n"/>
      <c r="F160" s="11" t="n"/>
      <c r="G160" s="14">
        <f>IF($F160="","",ROUND($F160/1.1,0))</f>
        <v/>
      </c>
      <c r="H160" s="14">
        <f>IF($F160="","",IF(기본설정!$C$9="일반과세자",$F160-$G160,0))</f>
        <v/>
      </c>
      <c r="I160" s="8" t="n"/>
      <c r="J160" s="8" t="n"/>
    </row>
    <row r="161">
      <c r="B161" s="13" t="n"/>
      <c r="C161" s="8" t="n"/>
      <c r="D161" s="8" t="n"/>
      <c r="E161" s="8" t="n"/>
      <c r="F161" s="11" t="n"/>
      <c r="G161" s="14">
        <f>IF($F161="","",ROUND($F161/1.1,0))</f>
        <v/>
      </c>
      <c r="H161" s="14">
        <f>IF($F161="","",IF(기본설정!$C$9="일반과세자",$F161-$G161,0))</f>
        <v/>
      </c>
      <c r="I161" s="8" t="n"/>
      <c r="J161" s="8" t="n"/>
    </row>
    <row r="162">
      <c r="B162" s="13" t="n"/>
      <c r="C162" s="8" t="n"/>
      <c r="D162" s="8" t="n"/>
      <c r="E162" s="8" t="n"/>
      <c r="F162" s="11" t="n"/>
      <c r="G162" s="14">
        <f>IF($F162="","",ROUND($F162/1.1,0))</f>
        <v/>
      </c>
      <c r="H162" s="14">
        <f>IF($F162="","",IF(기본설정!$C$9="일반과세자",$F162-$G162,0))</f>
        <v/>
      </c>
      <c r="I162" s="8" t="n"/>
      <c r="J162" s="8" t="n"/>
    </row>
    <row r="163">
      <c r="B163" s="13" t="n"/>
      <c r="C163" s="8" t="n"/>
      <c r="D163" s="8" t="n"/>
      <c r="E163" s="8" t="n"/>
      <c r="F163" s="11" t="n"/>
      <c r="G163" s="14">
        <f>IF($F163="","",ROUND($F163/1.1,0))</f>
        <v/>
      </c>
      <c r="H163" s="14">
        <f>IF($F163="","",IF(기본설정!$C$9="일반과세자",$F163-$G163,0))</f>
        <v/>
      </c>
      <c r="I163" s="8" t="n"/>
      <c r="J163" s="8" t="n"/>
    </row>
    <row r="164">
      <c r="B164" s="13" t="n"/>
      <c r="C164" s="8" t="n"/>
      <c r="D164" s="8" t="n"/>
      <c r="E164" s="8" t="n"/>
      <c r="F164" s="11" t="n"/>
      <c r="G164" s="14">
        <f>IF($F164="","",ROUND($F164/1.1,0))</f>
        <v/>
      </c>
      <c r="H164" s="14">
        <f>IF($F164="","",IF(기본설정!$C$9="일반과세자",$F164-$G164,0))</f>
        <v/>
      </c>
      <c r="I164" s="8" t="n"/>
      <c r="J164" s="8" t="n"/>
    </row>
    <row r="165">
      <c r="B165" s="13" t="n"/>
      <c r="C165" s="8" t="n"/>
      <c r="D165" s="8" t="n"/>
      <c r="E165" s="8" t="n"/>
      <c r="F165" s="11" t="n"/>
      <c r="G165" s="14">
        <f>IF($F165="","",ROUND($F165/1.1,0))</f>
        <v/>
      </c>
      <c r="H165" s="14">
        <f>IF($F165="","",IF(기본설정!$C$9="일반과세자",$F165-$G165,0))</f>
        <v/>
      </c>
      <c r="I165" s="8" t="n"/>
      <c r="J165" s="8" t="n"/>
    </row>
    <row r="166">
      <c r="B166" s="13" t="n"/>
      <c r="C166" s="8" t="n"/>
      <c r="D166" s="8" t="n"/>
      <c r="E166" s="8" t="n"/>
      <c r="F166" s="11" t="n"/>
      <c r="G166" s="14">
        <f>IF($F166="","",ROUND($F166/1.1,0))</f>
        <v/>
      </c>
      <c r="H166" s="14">
        <f>IF($F166="","",IF(기본설정!$C$9="일반과세자",$F166-$G166,0))</f>
        <v/>
      </c>
      <c r="I166" s="8" t="n"/>
      <c r="J166" s="8" t="n"/>
    </row>
    <row r="167">
      <c r="B167" s="13" t="n"/>
      <c r="C167" s="8" t="n"/>
      <c r="D167" s="8" t="n"/>
      <c r="E167" s="8" t="n"/>
      <c r="F167" s="11" t="n"/>
      <c r="G167" s="14">
        <f>IF($F167="","",ROUND($F167/1.1,0))</f>
        <v/>
      </c>
      <c r="H167" s="14">
        <f>IF($F167="","",IF(기본설정!$C$9="일반과세자",$F167-$G167,0))</f>
        <v/>
      </c>
      <c r="I167" s="8" t="n"/>
      <c r="J167" s="8" t="n"/>
    </row>
    <row r="168">
      <c r="B168" s="13" t="n"/>
      <c r="C168" s="8" t="n"/>
      <c r="D168" s="8" t="n"/>
      <c r="E168" s="8" t="n"/>
      <c r="F168" s="11" t="n"/>
      <c r="G168" s="14">
        <f>IF($F168="","",ROUND($F168/1.1,0))</f>
        <v/>
      </c>
      <c r="H168" s="14">
        <f>IF($F168="","",IF(기본설정!$C$9="일반과세자",$F168-$G168,0))</f>
        <v/>
      </c>
      <c r="I168" s="8" t="n"/>
      <c r="J168" s="8" t="n"/>
    </row>
    <row r="169">
      <c r="B169" s="13" t="n"/>
      <c r="C169" s="8" t="n"/>
      <c r="D169" s="8" t="n"/>
      <c r="E169" s="8" t="n"/>
      <c r="F169" s="11" t="n"/>
      <c r="G169" s="14">
        <f>IF($F169="","",ROUND($F169/1.1,0))</f>
        <v/>
      </c>
      <c r="H169" s="14">
        <f>IF($F169="","",IF(기본설정!$C$9="일반과세자",$F169-$G169,0))</f>
        <v/>
      </c>
      <c r="I169" s="8" t="n"/>
      <c r="J169" s="8" t="n"/>
    </row>
    <row r="170">
      <c r="B170" s="13" t="n"/>
      <c r="C170" s="8" t="n"/>
      <c r="D170" s="8" t="n"/>
      <c r="E170" s="8" t="n"/>
      <c r="F170" s="11" t="n"/>
      <c r="G170" s="14">
        <f>IF($F170="","",ROUND($F170/1.1,0))</f>
        <v/>
      </c>
      <c r="H170" s="14">
        <f>IF($F170="","",IF(기본설정!$C$9="일반과세자",$F170-$G170,0))</f>
        <v/>
      </c>
      <c r="I170" s="8" t="n"/>
      <c r="J170" s="8" t="n"/>
    </row>
    <row r="171">
      <c r="B171" s="13" t="n"/>
      <c r="C171" s="8" t="n"/>
      <c r="D171" s="8" t="n"/>
      <c r="E171" s="8" t="n"/>
      <c r="F171" s="11" t="n"/>
      <c r="G171" s="14">
        <f>IF($F171="","",ROUND($F171/1.1,0))</f>
        <v/>
      </c>
      <c r="H171" s="14">
        <f>IF($F171="","",IF(기본설정!$C$9="일반과세자",$F171-$G171,0))</f>
        <v/>
      </c>
      <c r="I171" s="8" t="n"/>
      <c r="J171" s="8" t="n"/>
    </row>
    <row r="172">
      <c r="B172" s="13" t="n"/>
      <c r="C172" s="8" t="n"/>
      <c r="D172" s="8" t="n"/>
      <c r="E172" s="8" t="n"/>
      <c r="F172" s="11" t="n"/>
      <c r="G172" s="14">
        <f>IF($F172="","",ROUND($F172/1.1,0))</f>
        <v/>
      </c>
      <c r="H172" s="14">
        <f>IF($F172="","",IF(기본설정!$C$9="일반과세자",$F172-$G172,0))</f>
        <v/>
      </c>
      <c r="I172" s="8" t="n"/>
      <c r="J172" s="8" t="n"/>
    </row>
    <row r="173">
      <c r="B173" s="13" t="n"/>
      <c r="C173" s="8" t="n"/>
      <c r="D173" s="8" t="n"/>
      <c r="E173" s="8" t="n"/>
      <c r="F173" s="11" t="n"/>
      <c r="G173" s="14">
        <f>IF($F173="","",ROUND($F173/1.1,0))</f>
        <v/>
      </c>
      <c r="H173" s="14">
        <f>IF($F173="","",IF(기본설정!$C$9="일반과세자",$F173-$G173,0))</f>
        <v/>
      </c>
      <c r="I173" s="8" t="n"/>
      <c r="J173" s="8" t="n"/>
    </row>
    <row r="174">
      <c r="B174" s="13" t="n"/>
      <c r="C174" s="8" t="n"/>
      <c r="D174" s="8" t="n"/>
      <c r="E174" s="8" t="n"/>
      <c r="F174" s="11" t="n"/>
      <c r="G174" s="14">
        <f>IF($F174="","",ROUND($F174/1.1,0))</f>
        <v/>
      </c>
      <c r="H174" s="14">
        <f>IF($F174="","",IF(기본설정!$C$9="일반과세자",$F174-$G174,0))</f>
        <v/>
      </c>
      <c r="I174" s="8" t="n"/>
      <c r="J174" s="8" t="n"/>
    </row>
    <row r="175">
      <c r="B175" s="13" t="n"/>
      <c r="C175" s="8" t="n"/>
      <c r="D175" s="8" t="n"/>
      <c r="E175" s="8" t="n"/>
      <c r="F175" s="11" t="n"/>
      <c r="G175" s="14">
        <f>IF($F175="","",ROUND($F175/1.1,0))</f>
        <v/>
      </c>
      <c r="H175" s="14">
        <f>IF($F175="","",IF(기본설정!$C$9="일반과세자",$F175-$G175,0))</f>
        <v/>
      </c>
      <c r="I175" s="8" t="n"/>
      <c r="J175" s="8" t="n"/>
    </row>
    <row r="176">
      <c r="B176" s="13" t="n"/>
      <c r="C176" s="8" t="n"/>
      <c r="D176" s="8" t="n"/>
      <c r="E176" s="8" t="n"/>
      <c r="F176" s="11" t="n"/>
      <c r="G176" s="14">
        <f>IF($F176="","",ROUND($F176/1.1,0))</f>
        <v/>
      </c>
      <c r="H176" s="14">
        <f>IF($F176="","",IF(기본설정!$C$9="일반과세자",$F176-$G176,0))</f>
        <v/>
      </c>
      <c r="I176" s="8" t="n"/>
      <c r="J176" s="8" t="n"/>
    </row>
    <row r="177">
      <c r="B177" s="13" t="n"/>
      <c r="C177" s="8" t="n"/>
      <c r="D177" s="8" t="n"/>
      <c r="E177" s="8" t="n"/>
      <c r="F177" s="11" t="n"/>
      <c r="G177" s="14">
        <f>IF($F177="","",ROUND($F177/1.1,0))</f>
        <v/>
      </c>
      <c r="H177" s="14">
        <f>IF($F177="","",IF(기본설정!$C$9="일반과세자",$F177-$G177,0))</f>
        <v/>
      </c>
      <c r="I177" s="8" t="n"/>
      <c r="J177" s="8" t="n"/>
    </row>
    <row r="178">
      <c r="B178" s="13" t="n"/>
      <c r="C178" s="8" t="n"/>
      <c r="D178" s="8" t="n"/>
      <c r="E178" s="8" t="n"/>
      <c r="F178" s="11" t="n"/>
      <c r="G178" s="14">
        <f>IF($F178="","",ROUND($F178/1.1,0))</f>
        <v/>
      </c>
      <c r="H178" s="14">
        <f>IF($F178="","",IF(기본설정!$C$9="일반과세자",$F178-$G178,0))</f>
        <v/>
      </c>
      <c r="I178" s="8" t="n"/>
      <c r="J178" s="8" t="n"/>
    </row>
    <row r="179">
      <c r="B179" s="13" t="n"/>
      <c r="C179" s="8" t="n"/>
      <c r="D179" s="8" t="n"/>
      <c r="E179" s="8" t="n"/>
      <c r="F179" s="11" t="n"/>
      <c r="G179" s="14">
        <f>IF($F179="","",ROUND($F179/1.1,0))</f>
        <v/>
      </c>
      <c r="H179" s="14">
        <f>IF($F179="","",IF(기본설정!$C$9="일반과세자",$F179-$G179,0))</f>
        <v/>
      </c>
      <c r="I179" s="8" t="n"/>
      <c r="J179" s="8" t="n"/>
    </row>
    <row r="180">
      <c r="B180" s="13" t="n"/>
      <c r="C180" s="8" t="n"/>
      <c r="D180" s="8" t="n"/>
      <c r="E180" s="8" t="n"/>
      <c r="F180" s="11" t="n"/>
      <c r="G180" s="14">
        <f>IF($F180="","",ROUND($F180/1.1,0))</f>
        <v/>
      </c>
      <c r="H180" s="14">
        <f>IF($F180="","",IF(기본설정!$C$9="일반과세자",$F180-$G180,0))</f>
        <v/>
      </c>
      <c r="I180" s="8" t="n"/>
      <c r="J180" s="8" t="n"/>
    </row>
    <row r="181">
      <c r="B181" s="13" t="n"/>
      <c r="C181" s="8" t="n"/>
      <c r="D181" s="8" t="n"/>
      <c r="E181" s="8" t="n"/>
      <c r="F181" s="11" t="n"/>
      <c r="G181" s="14">
        <f>IF($F181="","",ROUND($F181/1.1,0))</f>
        <v/>
      </c>
      <c r="H181" s="14">
        <f>IF($F181="","",IF(기본설정!$C$9="일반과세자",$F181-$G181,0))</f>
        <v/>
      </c>
      <c r="I181" s="8" t="n"/>
      <c r="J181" s="8" t="n"/>
    </row>
    <row r="182">
      <c r="B182" s="13" t="n"/>
      <c r="C182" s="8" t="n"/>
      <c r="D182" s="8" t="n"/>
      <c r="E182" s="8" t="n"/>
      <c r="F182" s="11" t="n"/>
      <c r="G182" s="14">
        <f>IF($F182="","",ROUND($F182/1.1,0))</f>
        <v/>
      </c>
      <c r="H182" s="14">
        <f>IF($F182="","",IF(기본설정!$C$9="일반과세자",$F182-$G182,0))</f>
        <v/>
      </c>
      <c r="I182" s="8" t="n"/>
      <c r="J182" s="8" t="n"/>
    </row>
    <row r="183">
      <c r="B183" s="13" t="n"/>
      <c r="C183" s="8" t="n"/>
      <c r="D183" s="8" t="n"/>
      <c r="E183" s="8" t="n"/>
      <c r="F183" s="11" t="n"/>
      <c r="G183" s="14">
        <f>IF($F183="","",ROUND($F183/1.1,0))</f>
        <v/>
      </c>
      <c r="H183" s="14">
        <f>IF($F183="","",IF(기본설정!$C$9="일반과세자",$F183-$G183,0))</f>
        <v/>
      </c>
      <c r="I183" s="8" t="n"/>
      <c r="J183" s="8" t="n"/>
    </row>
    <row r="184">
      <c r="B184" s="13" t="n"/>
      <c r="C184" s="8" t="n"/>
      <c r="D184" s="8" t="n"/>
      <c r="E184" s="8" t="n"/>
      <c r="F184" s="11" t="n"/>
      <c r="G184" s="14">
        <f>IF($F184="","",ROUND($F184/1.1,0))</f>
        <v/>
      </c>
      <c r="H184" s="14">
        <f>IF($F184="","",IF(기본설정!$C$9="일반과세자",$F184-$G184,0))</f>
        <v/>
      </c>
      <c r="I184" s="8" t="n"/>
      <c r="J184" s="8" t="n"/>
    </row>
    <row r="185">
      <c r="B185" s="13" t="n"/>
      <c r="C185" s="8" t="n"/>
      <c r="D185" s="8" t="n"/>
      <c r="E185" s="8" t="n"/>
      <c r="F185" s="11" t="n"/>
      <c r="G185" s="14">
        <f>IF($F185="","",ROUND($F185/1.1,0))</f>
        <v/>
      </c>
      <c r="H185" s="14">
        <f>IF($F185="","",IF(기본설정!$C$9="일반과세자",$F185-$G185,0))</f>
        <v/>
      </c>
      <c r="I185" s="8" t="n"/>
      <c r="J185" s="8" t="n"/>
    </row>
    <row r="186">
      <c r="B186" s="13" t="n"/>
      <c r="C186" s="8" t="n"/>
      <c r="D186" s="8" t="n"/>
      <c r="E186" s="8" t="n"/>
      <c r="F186" s="11" t="n"/>
      <c r="G186" s="14">
        <f>IF($F186="","",ROUND($F186/1.1,0))</f>
        <v/>
      </c>
      <c r="H186" s="14">
        <f>IF($F186="","",IF(기본설정!$C$9="일반과세자",$F186-$G186,0))</f>
        <v/>
      </c>
      <c r="I186" s="8" t="n"/>
      <c r="J186" s="8" t="n"/>
    </row>
    <row r="187">
      <c r="B187" s="13" t="n"/>
      <c r="C187" s="8" t="n"/>
      <c r="D187" s="8" t="n"/>
      <c r="E187" s="8" t="n"/>
      <c r="F187" s="11" t="n"/>
      <c r="G187" s="14">
        <f>IF($F187="","",ROUND($F187/1.1,0))</f>
        <v/>
      </c>
      <c r="H187" s="14">
        <f>IF($F187="","",IF(기본설정!$C$9="일반과세자",$F187-$G187,0))</f>
        <v/>
      </c>
      <c r="I187" s="8" t="n"/>
      <c r="J187" s="8" t="n"/>
    </row>
    <row r="188">
      <c r="B188" s="13" t="n"/>
      <c r="C188" s="8" t="n"/>
      <c r="D188" s="8" t="n"/>
      <c r="E188" s="8" t="n"/>
      <c r="F188" s="11" t="n"/>
      <c r="G188" s="14">
        <f>IF($F188="","",ROUND($F188/1.1,0))</f>
        <v/>
      </c>
      <c r="H188" s="14">
        <f>IF($F188="","",IF(기본설정!$C$9="일반과세자",$F188-$G188,0))</f>
        <v/>
      </c>
      <c r="I188" s="8" t="n"/>
      <c r="J188" s="8" t="n"/>
    </row>
    <row r="189">
      <c r="B189" s="13" t="n"/>
      <c r="C189" s="8" t="n"/>
      <c r="D189" s="8" t="n"/>
      <c r="E189" s="8" t="n"/>
      <c r="F189" s="11" t="n"/>
      <c r="G189" s="14">
        <f>IF($F189="","",ROUND($F189/1.1,0))</f>
        <v/>
      </c>
      <c r="H189" s="14">
        <f>IF($F189="","",IF(기본설정!$C$9="일반과세자",$F189-$G189,0))</f>
        <v/>
      </c>
      <c r="I189" s="8" t="n"/>
      <c r="J189" s="8" t="n"/>
    </row>
    <row r="190">
      <c r="B190" s="13" t="n"/>
      <c r="C190" s="8" t="n"/>
      <c r="D190" s="8" t="n"/>
      <c r="E190" s="8" t="n"/>
      <c r="F190" s="11" t="n"/>
      <c r="G190" s="14">
        <f>IF($F190="","",ROUND($F190/1.1,0))</f>
        <v/>
      </c>
      <c r="H190" s="14">
        <f>IF($F190="","",IF(기본설정!$C$9="일반과세자",$F190-$G190,0))</f>
        <v/>
      </c>
      <c r="I190" s="8" t="n"/>
      <c r="J190" s="8" t="n"/>
    </row>
    <row r="191">
      <c r="B191" s="13" t="n"/>
      <c r="C191" s="8" t="n"/>
      <c r="D191" s="8" t="n"/>
      <c r="E191" s="8" t="n"/>
      <c r="F191" s="11" t="n"/>
      <c r="G191" s="14">
        <f>IF($F191="","",ROUND($F191/1.1,0))</f>
        <v/>
      </c>
      <c r="H191" s="14">
        <f>IF($F191="","",IF(기본설정!$C$9="일반과세자",$F191-$G191,0))</f>
        <v/>
      </c>
      <c r="I191" s="8" t="n"/>
      <c r="J191" s="8" t="n"/>
    </row>
    <row r="192">
      <c r="B192" s="13" t="n"/>
      <c r="C192" s="8" t="n"/>
      <c r="D192" s="8" t="n"/>
      <c r="E192" s="8" t="n"/>
      <c r="F192" s="11" t="n"/>
      <c r="G192" s="14">
        <f>IF($F192="","",ROUND($F192/1.1,0))</f>
        <v/>
      </c>
      <c r="H192" s="14">
        <f>IF($F192="","",IF(기본설정!$C$9="일반과세자",$F192-$G192,0))</f>
        <v/>
      </c>
      <c r="I192" s="8" t="n"/>
      <c r="J192" s="8" t="n"/>
    </row>
    <row r="193">
      <c r="B193" s="13" t="n"/>
      <c r="C193" s="8" t="n"/>
      <c r="D193" s="8" t="n"/>
      <c r="E193" s="8" t="n"/>
      <c r="F193" s="11" t="n"/>
      <c r="G193" s="14">
        <f>IF($F193="","",ROUND($F193/1.1,0))</f>
        <v/>
      </c>
      <c r="H193" s="14">
        <f>IF($F193="","",IF(기본설정!$C$9="일반과세자",$F193-$G193,0))</f>
        <v/>
      </c>
      <c r="I193" s="8" t="n"/>
      <c r="J193" s="8" t="n"/>
    </row>
    <row r="194">
      <c r="B194" s="13" t="n"/>
      <c r="C194" s="8" t="n"/>
      <c r="D194" s="8" t="n"/>
      <c r="E194" s="8" t="n"/>
      <c r="F194" s="11" t="n"/>
      <c r="G194" s="14">
        <f>IF($F194="","",ROUND($F194/1.1,0))</f>
        <v/>
      </c>
      <c r="H194" s="14">
        <f>IF($F194="","",IF(기본설정!$C$9="일반과세자",$F194-$G194,0))</f>
        <v/>
      </c>
      <c r="I194" s="8" t="n"/>
      <c r="J194" s="8" t="n"/>
    </row>
    <row r="195">
      <c r="B195" s="13" t="n"/>
      <c r="C195" s="8" t="n"/>
      <c r="D195" s="8" t="n"/>
      <c r="E195" s="8" t="n"/>
      <c r="F195" s="11" t="n"/>
      <c r="G195" s="14">
        <f>IF($F195="","",ROUND($F195/1.1,0))</f>
        <v/>
      </c>
      <c r="H195" s="14">
        <f>IF($F195="","",IF(기본설정!$C$9="일반과세자",$F195-$G195,0))</f>
        <v/>
      </c>
      <c r="I195" s="8" t="n"/>
      <c r="J195" s="8" t="n"/>
    </row>
    <row r="196">
      <c r="B196" s="13" t="n"/>
      <c r="C196" s="8" t="n"/>
      <c r="D196" s="8" t="n"/>
      <c r="E196" s="8" t="n"/>
      <c r="F196" s="11" t="n"/>
      <c r="G196" s="14">
        <f>IF($F196="","",ROUND($F196/1.1,0))</f>
        <v/>
      </c>
      <c r="H196" s="14">
        <f>IF($F196="","",IF(기본설정!$C$9="일반과세자",$F196-$G196,0))</f>
        <v/>
      </c>
      <c r="I196" s="8" t="n"/>
      <c r="J196" s="8" t="n"/>
    </row>
    <row r="197">
      <c r="B197" s="13" t="n"/>
      <c r="C197" s="8" t="n"/>
      <c r="D197" s="8" t="n"/>
      <c r="E197" s="8" t="n"/>
      <c r="F197" s="11" t="n"/>
      <c r="G197" s="14">
        <f>IF($F197="","",ROUND($F197/1.1,0))</f>
        <v/>
      </c>
      <c r="H197" s="14">
        <f>IF($F197="","",IF(기본설정!$C$9="일반과세자",$F197-$G197,0))</f>
        <v/>
      </c>
      <c r="I197" s="8" t="n"/>
      <c r="J197" s="8" t="n"/>
    </row>
    <row r="198">
      <c r="B198" s="13" t="n"/>
      <c r="C198" s="8" t="n"/>
      <c r="D198" s="8" t="n"/>
      <c r="E198" s="8" t="n"/>
      <c r="F198" s="11" t="n"/>
      <c r="G198" s="14">
        <f>IF($F198="","",ROUND($F198/1.1,0))</f>
        <v/>
      </c>
      <c r="H198" s="14">
        <f>IF($F198="","",IF(기본설정!$C$9="일반과세자",$F198-$G198,0))</f>
        <v/>
      </c>
      <c r="I198" s="8" t="n"/>
      <c r="J198" s="8" t="n"/>
    </row>
    <row r="199">
      <c r="B199" s="13" t="n"/>
      <c r="C199" s="8" t="n"/>
      <c r="D199" s="8" t="n"/>
      <c r="E199" s="8" t="n"/>
      <c r="F199" s="11" t="n"/>
      <c r="G199" s="14">
        <f>IF($F199="","",ROUND($F199/1.1,0))</f>
        <v/>
      </c>
      <c r="H199" s="14">
        <f>IF($F199="","",IF(기본설정!$C$9="일반과세자",$F199-$G199,0))</f>
        <v/>
      </c>
      <c r="I199" s="8" t="n"/>
      <c r="J199" s="8" t="n"/>
    </row>
    <row r="200">
      <c r="B200" s="13" t="n"/>
      <c r="C200" s="8" t="n"/>
      <c r="D200" s="8" t="n"/>
      <c r="E200" s="8" t="n"/>
      <c r="F200" s="11" t="n"/>
      <c r="G200" s="14">
        <f>IF($F200="","",ROUND($F200/1.1,0))</f>
        <v/>
      </c>
      <c r="H200" s="14">
        <f>IF($F200="","",IF(기본설정!$C$9="일반과세자",$F200-$G200,0))</f>
        <v/>
      </c>
      <c r="I200" s="8" t="n"/>
      <c r="J200" s="8" t="n"/>
    </row>
    <row r="201">
      <c r="B201" s="13" t="n"/>
      <c r="C201" s="8" t="n"/>
      <c r="D201" s="8" t="n"/>
      <c r="E201" s="8" t="n"/>
      <c r="F201" s="11" t="n"/>
      <c r="G201" s="14">
        <f>IF($F201="","",ROUND($F201/1.1,0))</f>
        <v/>
      </c>
      <c r="H201" s="14">
        <f>IF($F201="","",IF(기본설정!$C$9="일반과세자",$F201-$G201,0))</f>
        <v/>
      </c>
      <c r="I201" s="8" t="n"/>
      <c r="J201" s="8" t="n"/>
    </row>
    <row r="202">
      <c r="B202" s="13" t="n"/>
      <c r="C202" s="8" t="n"/>
      <c r="D202" s="8" t="n"/>
      <c r="E202" s="8" t="n"/>
      <c r="F202" s="11" t="n"/>
      <c r="G202" s="14">
        <f>IF($F202="","",ROUND($F202/1.1,0))</f>
        <v/>
      </c>
      <c r="H202" s="14">
        <f>IF($F202="","",IF(기본설정!$C$9="일반과세자",$F202-$G202,0))</f>
        <v/>
      </c>
      <c r="I202" s="8" t="n"/>
      <c r="J202" s="8" t="n"/>
    </row>
    <row r="203">
      <c r="B203" s="13" t="n"/>
      <c r="C203" s="8" t="n"/>
      <c r="D203" s="8" t="n"/>
      <c r="E203" s="8" t="n"/>
      <c r="F203" s="11" t="n"/>
      <c r="G203" s="14">
        <f>IF($F203="","",ROUND($F203/1.1,0))</f>
        <v/>
      </c>
      <c r="H203" s="14">
        <f>IF($F203="","",IF(기본설정!$C$9="일반과세자",$F203-$G203,0))</f>
        <v/>
      </c>
      <c r="I203" s="8" t="n"/>
      <c r="J203" s="8" t="n"/>
    </row>
    <row r="204">
      <c r="B204" s="13" t="n"/>
      <c r="C204" s="8" t="n"/>
      <c r="D204" s="8" t="n"/>
      <c r="E204" s="8" t="n"/>
      <c r="F204" s="11" t="n"/>
      <c r="G204" s="14">
        <f>IF($F204="","",ROUND($F204/1.1,0))</f>
        <v/>
      </c>
      <c r="H204" s="14">
        <f>IF($F204="","",IF(기본설정!$C$9="일반과세자",$F204-$G204,0))</f>
        <v/>
      </c>
      <c r="I204" s="8" t="n"/>
      <c r="J204" s="8" t="n"/>
    </row>
    <row r="205">
      <c r="B205" s="13" t="n"/>
      <c r="C205" s="8" t="n"/>
      <c r="D205" s="8" t="n"/>
      <c r="E205" s="8" t="n"/>
      <c r="F205" s="11" t="n"/>
      <c r="G205" s="14">
        <f>IF($F205="","",ROUND($F205/1.1,0))</f>
        <v/>
      </c>
      <c r="H205" s="14">
        <f>IF($F205="","",IF(기본설정!$C$9="일반과세자",$F205-$G205,0))</f>
        <v/>
      </c>
      <c r="I205" s="8" t="n"/>
      <c r="J205" s="8" t="n"/>
    </row>
    <row r="206">
      <c r="B206" s="13" t="n"/>
      <c r="C206" s="8" t="n"/>
      <c r="D206" s="8" t="n"/>
      <c r="E206" s="8" t="n"/>
      <c r="F206" s="11" t="n"/>
      <c r="G206" s="14">
        <f>IF($F206="","",ROUND($F206/1.1,0))</f>
        <v/>
      </c>
      <c r="H206" s="14">
        <f>IF($F206="","",IF(기본설정!$C$9="일반과세자",$F206-$G206,0))</f>
        <v/>
      </c>
      <c r="I206" s="8" t="n"/>
      <c r="J206" s="8" t="n"/>
    </row>
    <row r="207">
      <c r="B207" s="13" t="n"/>
      <c r="C207" s="8" t="n"/>
      <c r="D207" s="8" t="n"/>
      <c r="E207" s="8" t="n"/>
      <c r="F207" s="11" t="n"/>
      <c r="G207" s="14">
        <f>IF($F207="","",ROUND($F207/1.1,0))</f>
        <v/>
      </c>
      <c r="H207" s="14">
        <f>IF($F207="","",IF(기본설정!$C$9="일반과세자",$F207-$G207,0))</f>
        <v/>
      </c>
      <c r="I207" s="8" t="n"/>
      <c r="J207" s="8" t="n"/>
    </row>
    <row r="208">
      <c r="B208" s="13" t="n"/>
      <c r="C208" s="8" t="n"/>
      <c r="D208" s="8" t="n"/>
      <c r="E208" s="8" t="n"/>
      <c r="F208" s="11" t="n"/>
      <c r="G208" s="14">
        <f>IF($F208="","",ROUND($F208/1.1,0))</f>
        <v/>
      </c>
      <c r="H208" s="14">
        <f>IF($F208="","",IF(기본설정!$C$9="일반과세자",$F208-$G208,0))</f>
        <v/>
      </c>
      <c r="I208" s="8" t="n"/>
      <c r="J208" s="8" t="n"/>
    </row>
    <row r="209">
      <c r="B209" s="13" t="n"/>
      <c r="C209" s="8" t="n"/>
      <c r="D209" s="8" t="n"/>
      <c r="E209" s="8" t="n"/>
      <c r="F209" s="11" t="n"/>
      <c r="G209" s="14">
        <f>IF($F209="","",ROUND($F209/1.1,0))</f>
        <v/>
      </c>
      <c r="H209" s="14">
        <f>IF($F209="","",IF(기본설정!$C$9="일반과세자",$F209-$G209,0))</f>
        <v/>
      </c>
      <c r="I209" s="8" t="n"/>
      <c r="J209" s="8" t="n"/>
    </row>
    <row r="210">
      <c r="B210" s="13" t="n"/>
      <c r="C210" s="8" t="n"/>
      <c r="D210" s="8" t="n"/>
      <c r="E210" s="8" t="n"/>
      <c r="F210" s="11" t="n"/>
      <c r="G210" s="14">
        <f>IF($F210="","",ROUND($F210/1.1,0))</f>
        <v/>
      </c>
      <c r="H210" s="14">
        <f>IF($F210="","",IF(기본설정!$C$9="일반과세자",$F210-$G210,0))</f>
        <v/>
      </c>
      <c r="I210" s="8" t="n"/>
      <c r="J210" s="8" t="n"/>
    </row>
    <row r="211">
      <c r="B211" s="13" t="n"/>
      <c r="C211" s="8" t="n"/>
      <c r="D211" s="8" t="n"/>
      <c r="E211" s="8" t="n"/>
      <c r="F211" s="11" t="n"/>
      <c r="G211" s="14">
        <f>IF($F211="","",ROUND($F211/1.1,0))</f>
        <v/>
      </c>
      <c r="H211" s="14">
        <f>IF($F211="","",IF(기본설정!$C$9="일반과세자",$F211-$G211,0))</f>
        <v/>
      </c>
      <c r="I211" s="8" t="n"/>
      <c r="J211" s="8" t="n"/>
    </row>
    <row r="212">
      <c r="B212" s="13" t="n"/>
      <c r="C212" s="8" t="n"/>
      <c r="D212" s="8" t="n"/>
      <c r="E212" s="8" t="n"/>
      <c r="F212" s="11" t="n"/>
      <c r="G212" s="14">
        <f>IF($F212="","",ROUND($F212/1.1,0))</f>
        <v/>
      </c>
      <c r="H212" s="14">
        <f>IF($F212="","",IF(기본설정!$C$9="일반과세자",$F212-$G212,0))</f>
        <v/>
      </c>
      <c r="I212" s="8" t="n"/>
      <c r="J212" s="8" t="n"/>
    </row>
    <row r="213">
      <c r="B213" s="13" t="n"/>
      <c r="C213" s="8" t="n"/>
      <c r="D213" s="8" t="n"/>
      <c r="E213" s="8" t="n"/>
      <c r="F213" s="11" t="n"/>
      <c r="G213" s="14">
        <f>IF($F213="","",ROUND($F213/1.1,0))</f>
        <v/>
      </c>
      <c r="H213" s="14">
        <f>IF($F213="","",IF(기본설정!$C$9="일반과세자",$F213-$G213,0))</f>
        <v/>
      </c>
      <c r="I213" s="8" t="n"/>
      <c r="J213" s="8" t="n"/>
    </row>
    <row r="214">
      <c r="B214" s="13" t="n"/>
      <c r="C214" s="8" t="n"/>
      <c r="D214" s="8" t="n"/>
      <c r="E214" s="8" t="n"/>
      <c r="F214" s="11" t="n"/>
      <c r="G214" s="14">
        <f>IF($F214="","",ROUND($F214/1.1,0))</f>
        <v/>
      </c>
      <c r="H214" s="14">
        <f>IF($F214="","",IF(기본설정!$C$9="일반과세자",$F214-$G214,0))</f>
        <v/>
      </c>
      <c r="I214" s="8" t="n"/>
      <c r="J214" s="8" t="n"/>
    </row>
    <row r="215">
      <c r="B215" s="13" t="n"/>
      <c r="C215" s="8" t="n"/>
      <c r="D215" s="8" t="n"/>
      <c r="E215" s="8" t="n"/>
      <c r="F215" s="11" t="n"/>
      <c r="G215" s="14">
        <f>IF($F215="","",ROUND($F215/1.1,0))</f>
        <v/>
      </c>
      <c r="H215" s="14">
        <f>IF($F215="","",IF(기본설정!$C$9="일반과세자",$F215-$G215,0))</f>
        <v/>
      </c>
      <c r="I215" s="8" t="n"/>
      <c r="J215" s="8" t="n"/>
    </row>
    <row r="216">
      <c r="B216" s="13" t="n"/>
      <c r="C216" s="8" t="n"/>
      <c r="D216" s="8" t="n"/>
      <c r="E216" s="8" t="n"/>
      <c r="F216" s="11" t="n"/>
      <c r="G216" s="14">
        <f>IF($F216="","",ROUND($F216/1.1,0))</f>
        <v/>
      </c>
      <c r="H216" s="14">
        <f>IF($F216="","",IF(기본설정!$C$9="일반과세자",$F216-$G216,0))</f>
        <v/>
      </c>
      <c r="I216" s="8" t="n"/>
      <c r="J216" s="8" t="n"/>
    </row>
    <row r="217">
      <c r="B217" s="13" t="n"/>
      <c r="C217" s="8" t="n"/>
      <c r="D217" s="8" t="n"/>
      <c r="E217" s="8" t="n"/>
      <c r="F217" s="11" t="n"/>
      <c r="G217" s="14">
        <f>IF($F217="","",ROUND($F217/1.1,0))</f>
        <v/>
      </c>
      <c r="H217" s="14">
        <f>IF($F217="","",IF(기본설정!$C$9="일반과세자",$F217-$G217,0))</f>
        <v/>
      </c>
      <c r="I217" s="8" t="n"/>
      <c r="J217" s="8" t="n"/>
    </row>
    <row r="218">
      <c r="B218" s="13" t="n"/>
      <c r="C218" s="8" t="n"/>
      <c r="D218" s="8" t="n"/>
      <c r="E218" s="8" t="n"/>
      <c r="F218" s="11" t="n"/>
      <c r="G218" s="14">
        <f>IF($F218="","",ROUND($F218/1.1,0))</f>
        <v/>
      </c>
      <c r="H218" s="14">
        <f>IF($F218="","",IF(기본설정!$C$9="일반과세자",$F218-$G218,0))</f>
        <v/>
      </c>
      <c r="I218" s="8" t="n"/>
      <c r="J218" s="8" t="n"/>
    </row>
    <row r="219">
      <c r="B219" s="13" t="n"/>
      <c r="C219" s="8" t="n"/>
      <c r="D219" s="8" t="n"/>
      <c r="E219" s="8" t="n"/>
      <c r="F219" s="11" t="n"/>
      <c r="G219" s="14">
        <f>IF($F219="","",ROUND($F219/1.1,0))</f>
        <v/>
      </c>
      <c r="H219" s="14">
        <f>IF($F219="","",IF(기본설정!$C$9="일반과세자",$F219-$G219,0))</f>
        <v/>
      </c>
      <c r="I219" s="8" t="n"/>
      <c r="J219" s="8" t="n"/>
    </row>
    <row r="220">
      <c r="B220" s="13" t="n"/>
      <c r="C220" s="8" t="n"/>
      <c r="D220" s="8" t="n"/>
      <c r="E220" s="8" t="n"/>
      <c r="F220" s="11" t="n"/>
      <c r="G220" s="14">
        <f>IF($F220="","",ROUND($F220/1.1,0))</f>
        <v/>
      </c>
      <c r="H220" s="14">
        <f>IF($F220="","",IF(기본설정!$C$9="일반과세자",$F220-$G220,0))</f>
        <v/>
      </c>
      <c r="I220" s="8" t="n"/>
      <c r="J220" s="8" t="n"/>
    </row>
    <row r="221">
      <c r="B221" s="13" t="n"/>
      <c r="C221" s="8" t="n"/>
      <c r="D221" s="8" t="n"/>
      <c r="E221" s="8" t="n"/>
      <c r="F221" s="11" t="n"/>
      <c r="G221" s="14">
        <f>IF($F221="","",ROUND($F221/1.1,0))</f>
        <v/>
      </c>
      <c r="H221" s="14">
        <f>IF($F221="","",IF(기본설정!$C$9="일반과세자",$F221-$G221,0))</f>
        <v/>
      </c>
      <c r="I221" s="8" t="n"/>
      <c r="J221" s="8" t="n"/>
    </row>
    <row r="222">
      <c r="B222" s="13" t="n"/>
      <c r="C222" s="8" t="n"/>
      <c r="D222" s="8" t="n"/>
      <c r="E222" s="8" t="n"/>
      <c r="F222" s="11" t="n"/>
      <c r="G222" s="14">
        <f>IF($F222="","",ROUND($F222/1.1,0))</f>
        <v/>
      </c>
      <c r="H222" s="14">
        <f>IF($F222="","",IF(기본설정!$C$9="일반과세자",$F222-$G222,0))</f>
        <v/>
      </c>
      <c r="I222" s="8" t="n"/>
      <c r="J222" s="8" t="n"/>
    </row>
    <row r="223">
      <c r="B223" s="13" t="n"/>
      <c r="C223" s="8" t="n"/>
      <c r="D223" s="8" t="n"/>
      <c r="E223" s="8" t="n"/>
      <c r="F223" s="11" t="n"/>
      <c r="G223" s="14">
        <f>IF($F223="","",ROUND($F223/1.1,0))</f>
        <v/>
      </c>
      <c r="H223" s="14">
        <f>IF($F223="","",IF(기본설정!$C$9="일반과세자",$F223-$G223,0))</f>
        <v/>
      </c>
      <c r="I223" s="8" t="n"/>
      <c r="J223" s="8" t="n"/>
    </row>
    <row r="224">
      <c r="B224" s="13" t="n"/>
      <c r="C224" s="8" t="n"/>
      <c r="D224" s="8" t="n"/>
      <c r="E224" s="8" t="n"/>
      <c r="F224" s="11" t="n"/>
      <c r="G224" s="14">
        <f>IF($F224="","",ROUND($F224/1.1,0))</f>
        <v/>
      </c>
      <c r="H224" s="14">
        <f>IF($F224="","",IF(기본설정!$C$9="일반과세자",$F224-$G224,0))</f>
        <v/>
      </c>
      <c r="I224" s="8" t="n"/>
      <c r="J224" s="8" t="n"/>
    </row>
    <row r="225">
      <c r="B225" s="13" t="n"/>
      <c r="C225" s="8" t="n"/>
      <c r="D225" s="8" t="n"/>
      <c r="E225" s="8" t="n"/>
      <c r="F225" s="11" t="n"/>
      <c r="G225" s="14">
        <f>IF($F225="","",ROUND($F225/1.1,0))</f>
        <v/>
      </c>
      <c r="H225" s="14">
        <f>IF($F225="","",IF(기본설정!$C$9="일반과세자",$F225-$G225,0))</f>
        <v/>
      </c>
      <c r="I225" s="8" t="n"/>
      <c r="J225" s="8" t="n"/>
    </row>
    <row r="226">
      <c r="B226" s="13" t="n"/>
      <c r="C226" s="8" t="n"/>
      <c r="D226" s="8" t="n"/>
      <c r="E226" s="8" t="n"/>
      <c r="F226" s="11" t="n"/>
      <c r="G226" s="14">
        <f>IF($F226="","",ROUND($F226/1.1,0))</f>
        <v/>
      </c>
      <c r="H226" s="14">
        <f>IF($F226="","",IF(기본설정!$C$9="일반과세자",$F226-$G226,0))</f>
        <v/>
      </c>
      <c r="I226" s="8" t="n"/>
      <c r="J226" s="8" t="n"/>
    </row>
    <row r="227">
      <c r="B227" s="13" t="n"/>
      <c r="C227" s="8" t="n"/>
      <c r="D227" s="8" t="n"/>
      <c r="E227" s="8" t="n"/>
      <c r="F227" s="11" t="n"/>
      <c r="G227" s="14">
        <f>IF($F227="","",ROUND($F227/1.1,0))</f>
        <v/>
      </c>
      <c r="H227" s="14">
        <f>IF($F227="","",IF(기본설정!$C$9="일반과세자",$F227-$G227,0))</f>
        <v/>
      </c>
      <c r="I227" s="8" t="n"/>
      <c r="J227" s="8" t="n"/>
    </row>
    <row r="228">
      <c r="B228" s="13" t="n"/>
      <c r="C228" s="8" t="n"/>
      <c r="D228" s="8" t="n"/>
      <c r="E228" s="8" t="n"/>
      <c r="F228" s="11" t="n"/>
      <c r="G228" s="14">
        <f>IF($F228="","",ROUND($F228/1.1,0))</f>
        <v/>
      </c>
      <c r="H228" s="14">
        <f>IF($F228="","",IF(기본설정!$C$9="일반과세자",$F228-$G228,0))</f>
        <v/>
      </c>
      <c r="I228" s="8" t="n"/>
      <c r="J228" s="8" t="n"/>
    </row>
    <row r="229">
      <c r="B229" s="13" t="n"/>
      <c r="C229" s="8" t="n"/>
      <c r="D229" s="8" t="n"/>
      <c r="E229" s="8" t="n"/>
      <c r="F229" s="11" t="n"/>
      <c r="G229" s="14">
        <f>IF($F229="","",ROUND($F229/1.1,0))</f>
        <v/>
      </c>
      <c r="H229" s="14">
        <f>IF($F229="","",IF(기본설정!$C$9="일반과세자",$F229-$G229,0))</f>
        <v/>
      </c>
      <c r="I229" s="8" t="n"/>
      <c r="J229" s="8" t="n"/>
    </row>
    <row r="230">
      <c r="B230" s="13" t="n"/>
      <c r="C230" s="8" t="n"/>
      <c r="D230" s="8" t="n"/>
      <c r="E230" s="8" t="n"/>
      <c r="F230" s="11" t="n"/>
      <c r="G230" s="14">
        <f>IF($F230="","",ROUND($F230/1.1,0))</f>
        <v/>
      </c>
      <c r="H230" s="14">
        <f>IF($F230="","",IF(기본설정!$C$9="일반과세자",$F230-$G230,0))</f>
        <v/>
      </c>
      <c r="I230" s="8" t="n"/>
      <c r="J230" s="8" t="n"/>
    </row>
    <row r="231">
      <c r="B231" s="13" t="n"/>
      <c r="C231" s="8" t="n"/>
      <c r="D231" s="8" t="n"/>
      <c r="E231" s="8" t="n"/>
      <c r="F231" s="11" t="n"/>
      <c r="G231" s="14">
        <f>IF($F231="","",ROUND($F231/1.1,0))</f>
        <v/>
      </c>
      <c r="H231" s="14">
        <f>IF($F231="","",IF(기본설정!$C$9="일반과세자",$F231-$G231,0))</f>
        <v/>
      </c>
      <c r="I231" s="8" t="n"/>
      <c r="J231" s="8" t="n"/>
    </row>
    <row r="232">
      <c r="B232" s="13" t="n"/>
      <c r="C232" s="8" t="n"/>
      <c r="D232" s="8" t="n"/>
      <c r="E232" s="8" t="n"/>
      <c r="F232" s="11" t="n"/>
      <c r="G232" s="14">
        <f>IF($F232="","",ROUND($F232/1.1,0))</f>
        <v/>
      </c>
      <c r="H232" s="14">
        <f>IF($F232="","",IF(기본설정!$C$9="일반과세자",$F232-$G232,0))</f>
        <v/>
      </c>
      <c r="I232" s="8" t="n"/>
      <c r="J232" s="8" t="n"/>
    </row>
    <row r="233">
      <c r="B233" s="13" t="n"/>
      <c r="C233" s="8" t="n"/>
      <c r="D233" s="8" t="n"/>
      <c r="E233" s="8" t="n"/>
      <c r="F233" s="11" t="n"/>
      <c r="G233" s="14">
        <f>IF($F233="","",ROUND($F233/1.1,0))</f>
        <v/>
      </c>
      <c r="H233" s="14">
        <f>IF($F233="","",IF(기본설정!$C$9="일반과세자",$F233-$G233,0))</f>
        <v/>
      </c>
      <c r="I233" s="8" t="n"/>
      <c r="J233" s="8" t="n"/>
    </row>
    <row r="234">
      <c r="B234" s="13" t="n"/>
      <c r="C234" s="8" t="n"/>
      <c r="D234" s="8" t="n"/>
      <c r="E234" s="8" t="n"/>
      <c r="F234" s="11" t="n"/>
      <c r="G234" s="14">
        <f>IF($F234="","",ROUND($F234/1.1,0))</f>
        <v/>
      </c>
      <c r="H234" s="14">
        <f>IF($F234="","",IF(기본설정!$C$9="일반과세자",$F234-$G234,0))</f>
        <v/>
      </c>
      <c r="I234" s="8" t="n"/>
      <c r="J234" s="8" t="n"/>
    </row>
    <row r="235">
      <c r="B235" s="13" t="n"/>
      <c r="C235" s="8" t="n"/>
      <c r="D235" s="8" t="n"/>
      <c r="E235" s="8" t="n"/>
      <c r="F235" s="11" t="n"/>
      <c r="G235" s="14">
        <f>IF($F235="","",ROUND($F235/1.1,0))</f>
        <v/>
      </c>
      <c r="H235" s="14">
        <f>IF($F235="","",IF(기본설정!$C$9="일반과세자",$F235-$G235,0))</f>
        <v/>
      </c>
      <c r="I235" s="8" t="n"/>
      <c r="J235" s="8" t="n"/>
    </row>
    <row r="236">
      <c r="B236" s="13" t="n"/>
      <c r="C236" s="8" t="n"/>
      <c r="D236" s="8" t="n"/>
      <c r="E236" s="8" t="n"/>
      <c r="F236" s="11" t="n"/>
      <c r="G236" s="14">
        <f>IF($F236="","",ROUND($F236/1.1,0))</f>
        <v/>
      </c>
      <c r="H236" s="14">
        <f>IF($F236="","",IF(기본설정!$C$9="일반과세자",$F236-$G236,0))</f>
        <v/>
      </c>
      <c r="I236" s="8" t="n"/>
      <c r="J236" s="8" t="n"/>
    </row>
    <row r="237">
      <c r="B237" s="13" t="n"/>
      <c r="C237" s="8" t="n"/>
      <c r="D237" s="8" t="n"/>
      <c r="E237" s="8" t="n"/>
      <c r="F237" s="11" t="n"/>
      <c r="G237" s="14">
        <f>IF($F237="","",ROUND($F237/1.1,0))</f>
        <v/>
      </c>
      <c r="H237" s="14">
        <f>IF($F237="","",IF(기본설정!$C$9="일반과세자",$F237-$G237,0))</f>
        <v/>
      </c>
      <c r="I237" s="8" t="n"/>
      <c r="J237" s="8" t="n"/>
    </row>
    <row r="238">
      <c r="B238" s="13" t="n"/>
      <c r="C238" s="8" t="n"/>
      <c r="D238" s="8" t="n"/>
      <c r="E238" s="8" t="n"/>
      <c r="F238" s="11" t="n"/>
      <c r="G238" s="14">
        <f>IF($F238="","",ROUND($F238/1.1,0))</f>
        <v/>
      </c>
      <c r="H238" s="14">
        <f>IF($F238="","",IF(기본설정!$C$9="일반과세자",$F238-$G238,0))</f>
        <v/>
      </c>
      <c r="I238" s="8" t="n"/>
      <c r="J238" s="8" t="n"/>
    </row>
    <row r="239">
      <c r="B239" s="13" t="n"/>
      <c r="C239" s="8" t="n"/>
      <c r="D239" s="8" t="n"/>
      <c r="E239" s="8" t="n"/>
      <c r="F239" s="11" t="n"/>
      <c r="G239" s="14">
        <f>IF($F239="","",ROUND($F239/1.1,0))</f>
        <v/>
      </c>
      <c r="H239" s="14">
        <f>IF($F239="","",IF(기본설정!$C$9="일반과세자",$F239-$G239,0))</f>
        <v/>
      </c>
      <c r="I239" s="8" t="n"/>
      <c r="J239" s="8" t="n"/>
    </row>
    <row r="240">
      <c r="B240" s="13" t="n"/>
      <c r="C240" s="8" t="n"/>
      <c r="D240" s="8" t="n"/>
      <c r="E240" s="8" t="n"/>
      <c r="F240" s="11" t="n"/>
      <c r="G240" s="14">
        <f>IF($F240="","",ROUND($F240/1.1,0))</f>
        <v/>
      </c>
      <c r="H240" s="14">
        <f>IF($F240="","",IF(기본설정!$C$9="일반과세자",$F240-$G240,0))</f>
        <v/>
      </c>
      <c r="I240" s="8" t="n"/>
      <c r="J240" s="8" t="n"/>
    </row>
    <row r="241">
      <c r="B241" s="13" t="n"/>
      <c r="C241" s="8" t="n"/>
      <c r="D241" s="8" t="n"/>
      <c r="E241" s="8" t="n"/>
      <c r="F241" s="11" t="n"/>
      <c r="G241" s="14">
        <f>IF($F241="","",ROUND($F241/1.1,0))</f>
        <v/>
      </c>
      <c r="H241" s="14">
        <f>IF($F241="","",IF(기본설정!$C$9="일반과세자",$F241-$G241,0))</f>
        <v/>
      </c>
      <c r="I241" s="8" t="n"/>
      <c r="J241" s="8" t="n"/>
    </row>
    <row r="242">
      <c r="B242" s="13" t="n"/>
      <c r="C242" s="8" t="n"/>
      <c r="D242" s="8" t="n"/>
      <c r="E242" s="8" t="n"/>
      <c r="F242" s="11" t="n"/>
      <c r="G242" s="14">
        <f>IF($F242="","",ROUND($F242/1.1,0))</f>
        <v/>
      </c>
      <c r="H242" s="14">
        <f>IF($F242="","",IF(기본설정!$C$9="일반과세자",$F242-$G242,0))</f>
        <v/>
      </c>
      <c r="I242" s="8" t="n"/>
      <c r="J242" s="8" t="n"/>
    </row>
    <row r="243">
      <c r="B243" s="13" t="n"/>
      <c r="C243" s="8" t="n"/>
      <c r="D243" s="8" t="n"/>
      <c r="E243" s="8" t="n"/>
      <c r="F243" s="11" t="n"/>
      <c r="G243" s="14">
        <f>IF($F243="","",ROUND($F243/1.1,0))</f>
        <v/>
      </c>
      <c r="H243" s="14">
        <f>IF($F243="","",IF(기본설정!$C$9="일반과세자",$F243-$G243,0))</f>
        <v/>
      </c>
      <c r="I243" s="8" t="n"/>
      <c r="J243" s="8" t="n"/>
    </row>
    <row r="244">
      <c r="B244" s="13" t="n"/>
      <c r="C244" s="8" t="n"/>
      <c r="D244" s="8" t="n"/>
      <c r="E244" s="8" t="n"/>
      <c r="F244" s="11" t="n"/>
      <c r="G244" s="14">
        <f>IF($F244="","",ROUND($F244/1.1,0))</f>
        <v/>
      </c>
      <c r="H244" s="14">
        <f>IF($F244="","",IF(기본설정!$C$9="일반과세자",$F244-$G244,0))</f>
        <v/>
      </c>
      <c r="I244" s="8" t="n"/>
      <c r="J244" s="8" t="n"/>
    </row>
    <row r="245">
      <c r="B245" s="13" t="n"/>
      <c r="C245" s="8" t="n"/>
      <c r="D245" s="8" t="n"/>
      <c r="E245" s="8" t="n"/>
      <c r="F245" s="11" t="n"/>
      <c r="G245" s="14">
        <f>IF($F245="","",ROUND($F245/1.1,0))</f>
        <v/>
      </c>
      <c r="H245" s="14">
        <f>IF($F245="","",IF(기본설정!$C$9="일반과세자",$F245-$G245,0))</f>
        <v/>
      </c>
      <c r="I245" s="8" t="n"/>
      <c r="J245" s="8" t="n"/>
    </row>
    <row r="246">
      <c r="B246" s="13" t="n"/>
      <c r="C246" s="8" t="n"/>
      <c r="D246" s="8" t="n"/>
      <c r="E246" s="8" t="n"/>
      <c r="F246" s="11" t="n"/>
      <c r="G246" s="14">
        <f>IF($F246="","",ROUND($F246/1.1,0))</f>
        <v/>
      </c>
      <c r="H246" s="14">
        <f>IF($F246="","",IF(기본설정!$C$9="일반과세자",$F246-$G246,0))</f>
        <v/>
      </c>
      <c r="I246" s="8" t="n"/>
      <c r="J246" s="8" t="n"/>
    </row>
    <row r="247">
      <c r="B247" s="13" t="n"/>
      <c r="C247" s="8" t="n"/>
      <c r="D247" s="8" t="n"/>
      <c r="E247" s="8" t="n"/>
      <c r="F247" s="11" t="n"/>
      <c r="G247" s="14">
        <f>IF($F247="","",ROUND($F247/1.1,0))</f>
        <v/>
      </c>
      <c r="H247" s="14">
        <f>IF($F247="","",IF(기본설정!$C$9="일반과세자",$F247-$G247,0))</f>
        <v/>
      </c>
      <c r="I247" s="8" t="n"/>
      <c r="J247" s="8" t="n"/>
    </row>
    <row r="248">
      <c r="B248" s="13" t="n"/>
      <c r="C248" s="8" t="n"/>
      <c r="D248" s="8" t="n"/>
      <c r="E248" s="8" t="n"/>
      <c r="F248" s="11" t="n"/>
      <c r="G248" s="14">
        <f>IF($F248="","",ROUND($F248/1.1,0))</f>
        <v/>
      </c>
      <c r="H248" s="14">
        <f>IF($F248="","",IF(기본설정!$C$9="일반과세자",$F248-$G248,0))</f>
        <v/>
      </c>
      <c r="I248" s="8" t="n"/>
      <c r="J248" s="8" t="n"/>
    </row>
    <row r="249">
      <c r="B249" s="13" t="n"/>
      <c r="C249" s="8" t="n"/>
      <c r="D249" s="8" t="n"/>
      <c r="E249" s="8" t="n"/>
      <c r="F249" s="11" t="n"/>
      <c r="G249" s="14">
        <f>IF($F249="","",ROUND($F249/1.1,0))</f>
        <v/>
      </c>
      <c r="H249" s="14">
        <f>IF($F249="","",IF(기본설정!$C$9="일반과세자",$F249-$G249,0))</f>
        <v/>
      </c>
      <c r="I249" s="8" t="n"/>
      <c r="J249" s="8" t="n"/>
    </row>
    <row r="250">
      <c r="B250" s="13" t="n"/>
      <c r="C250" s="8" t="n"/>
      <c r="D250" s="8" t="n"/>
      <c r="E250" s="8" t="n"/>
      <c r="F250" s="11" t="n"/>
      <c r="G250" s="14">
        <f>IF($F250="","",ROUND($F250/1.1,0))</f>
        <v/>
      </c>
      <c r="H250" s="14">
        <f>IF($F250="","",IF(기본설정!$C$9="일반과세자",$F250-$G250,0))</f>
        <v/>
      </c>
      <c r="I250" s="8" t="n"/>
      <c r="J250" s="8" t="n"/>
    </row>
    <row r="251">
      <c r="B251" s="13" t="n"/>
      <c r="C251" s="8" t="n"/>
      <c r="D251" s="8" t="n"/>
      <c r="E251" s="8" t="n"/>
      <c r="F251" s="11" t="n"/>
      <c r="G251" s="14">
        <f>IF($F251="","",ROUND($F251/1.1,0))</f>
        <v/>
      </c>
      <c r="H251" s="14">
        <f>IF($F251="","",IF(기본설정!$C$9="일반과세자",$F251-$G251,0))</f>
        <v/>
      </c>
      <c r="I251" s="8" t="n"/>
      <c r="J251" s="8" t="n"/>
    </row>
    <row r="252">
      <c r="B252" s="13" t="n"/>
      <c r="C252" s="8" t="n"/>
      <c r="D252" s="8" t="n"/>
      <c r="E252" s="8" t="n"/>
      <c r="F252" s="11" t="n"/>
      <c r="G252" s="14">
        <f>IF($F252="","",ROUND($F252/1.1,0))</f>
        <v/>
      </c>
      <c r="H252" s="14">
        <f>IF($F252="","",IF(기본설정!$C$9="일반과세자",$F252-$G252,0))</f>
        <v/>
      </c>
      <c r="I252" s="8" t="n"/>
      <c r="J252" s="8" t="n"/>
    </row>
    <row r="253">
      <c r="B253" s="13" t="n"/>
      <c r="C253" s="8" t="n"/>
      <c r="D253" s="8" t="n"/>
      <c r="E253" s="8" t="n"/>
      <c r="F253" s="11" t="n"/>
      <c r="G253" s="14">
        <f>IF($F253="","",ROUND($F253/1.1,0))</f>
        <v/>
      </c>
      <c r="H253" s="14">
        <f>IF($F253="","",IF(기본설정!$C$9="일반과세자",$F253-$G253,0))</f>
        <v/>
      </c>
      <c r="I253" s="8" t="n"/>
      <c r="J253" s="8" t="n"/>
    </row>
    <row r="254">
      <c r="B254" s="13" t="n"/>
      <c r="C254" s="8" t="n"/>
      <c r="D254" s="8" t="n"/>
      <c r="E254" s="8" t="n"/>
      <c r="F254" s="11" t="n"/>
      <c r="G254" s="14">
        <f>IF($F254="","",ROUND($F254/1.1,0))</f>
        <v/>
      </c>
      <c r="H254" s="14">
        <f>IF($F254="","",IF(기본설정!$C$9="일반과세자",$F254-$G254,0))</f>
        <v/>
      </c>
      <c r="I254" s="8" t="n"/>
      <c r="J254" s="8" t="n"/>
    </row>
    <row r="255">
      <c r="B255" s="13" t="n"/>
      <c r="C255" s="8" t="n"/>
      <c r="D255" s="8" t="n"/>
      <c r="E255" s="8" t="n"/>
      <c r="F255" s="11" t="n"/>
      <c r="G255" s="14">
        <f>IF($F255="","",ROUND($F255/1.1,0))</f>
        <v/>
      </c>
      <c r="H255" s="14">
        <f>IF($F255="","",IF(기본설정!$C$9="일반과세자",$F255-$G255,0))</f>
        <v/>
      </c>
      <c r="I255" s="8" t="n"/>
      <c r="J255" s="8" t="n"/>
    </row>
    <row r="256">
      <c r="B256" s="13" t="n"/>
      <c r="C256" s="8" t="n"/>
      <c r="D256" s="8" t="n"/>
      <c r="E256" s="8" t="n"/>
      <c r="F256" s="11" t="n"/>
      <c r="G256" s="14">
        <f>IF($F256="","",ROUND($F256/1.1,0))</f>
        <v/>
      </c>
      <c r="H256" s="14">
        <f>IF($F256="","",IF(기본설정!$C$9="일반과세자",$F256-$G256,0))</f>
        <v/>
      </c>
      <c r="I256" s="8" t="n"/>
      <c r="J256" s="8" t="n"/>
    </row>
    <row r="257">
      <c r="B257" s="13" t="n"/>
      <c r="C257" s="8" t="n"/>
      <c r="D257" s="8" t="n"/>
      <c r="E257" s="8" t="n"/>
      <c r="F257" s="11" t="n"/>
      <c r="G257" s="14">
        <f>IF($F257="","",ROUND($F257/1.1,0))</f>
        <v/>
      </c>
      <c r="H257" s="14">
        <f>IF($F257="","",IF(기본설정!$C$9="일반과세자",$F257-$G257,0))</f>
        <v/>
      </c>
      <c r="I257" s="8" t="n"/>
      <c r="J257" s="8" t="n"/>
    </row>
    <row r="258">
      <c r="B258" s="13" t="n"/>
      <c r="C258" s="8" t="n"/>
      <c r="D258" s="8" t="n"/>
      <c r="E258" s="8" t="n"/>
      <c r="F258" s="11" t="n"/>
      <c r="G258" s="14">
        <f>IF($F258="","",ROUND($F258/1.1,0))</f>
        <v/>
      </c>
      <c r="H258" s="14">
        <f>IF($F258="","",IF(기본설정!$C$9="일반과세자",$F258-$G258,0))</f>
        <v/>
      </c>
      <c r="I258" s="8" t="n"/>
      <c r="J258" s="8" t="n"/>
    </row>
    <row r="259">
      <c r="B259" s="13" t="n"/>
      <c r="C259" s="8" t="n"/>
      <c r="D259" s="8" t="n"/>
      <c r="E259" s="8" t="n"/>
      <c r="F259" s="11" t="n"/>
      <c r="G259" s="14">
        <f>IF($F259="","",ROUND($F259/1.1,0))</f>
        <v/>
      </c>
      <c r="H259" s="14">
        <f>IF($F259="","",IF(기본설정!$C$9="일반과세자",$F259-$G259,0))</f>
        <v/>
      </c>
      <c r="I259" s="8" t="n"/>
      <c r="J259" s="8" t="n"/>
    </row>
    <row r="260">
      <c r="B260" s="13" t="n"/>
      <c r="C260" s="8" t="n"/>
      <c r="D260" s="8" t="n"/>
      <c r="E260" s="8" t="n"/>
      <c r="F260" s="11" t="n"/>
      <c r="G260" s="14">
        <f>IF($F260="","",ROUND($F260/1.1,0))</f>
        <v/>
      </c>
      <c r="H260" s="14">
        <f>IF($F260="","",IF(기본설정!$C$9="일반과세자",$F260-$G260,0))</f>
        <v/>
      </c>
      <c r="I260" s="8" t="n"/>
      <c r="J260" s="8" t="n"/>
    </row>
    <row r="261">
      <c r="B261" s="13" t="n"/>
      <c r="C261" s="8" t="n"/>
      <c r="D261" s="8" t="n"/>
      <c r="E261" s="8" t="n"/>
      <c r="F261" s="11" t="n"/>
      <c r="G261" s="14">
        <f>IF($F261="","",ROUND($F261/1.1,0))</f>
        <v/>
      </c>
      <c r="H261" s="14">
        <f>IF($F261="","",IF(기본설정!$C$9="일반과세자",$F261-$G261,0))</f>
        <v/>
      </c>
      <c r="I261" s="8" t="n"/>
      <c r="J261" s="8" t="n"/>
    </row>
    <row r="262">
      <c r="B262" s="13" t="n"/>
      <c r="C262" s="8" t="n"/>
      <c r="D262" s="8" t="n"/>
      <c r="E262" s="8" t="n"/>
      <c r="F262" s="11" t="n"/>
      <c r="G262" s="14">
        <f>IF($F262="","",ROUND($F262/1.1,0))</f>
        <v/>
      </c>
      <c r="H262" s="14">
        <f>IF($F262="","",IF(기본설정!$C$9="일반과세자",$F262-$G262,0))</f>
        <v/>
      </c>
      <c r="I262" s="8" t="n"/>
      <c r="J262" s="8" t="n"/>
    </row>
    <row r="263">
      <c r="B263" s="13" t="n"/>
      <c r="C263" s="8" t="n"/>
      <c r="D263" s="8" t="n"/>
      <c r="E263" s="8" t="n"/>
      <c r="F263" s="11" t="n"/>
      <c r="G263" s="14">
        <f>IF($F263="","",ROUND($F263/1.1,0))</f>
        <v/>
      </c>
      <c r="H263" s="14">
        <f>IF($F263="","",IF(기본설정!$C$9="일반과세자",$F263-$G263,0))</f>
        <v/>
      </c>
      <c r="I263" s="8" t="n"/>
      <c r="J263" s="8" t="n"/>
    </row>
    <row r="264">
      <c r="B264" s="13" t="n"/>
      <c r="C264" s="8" t="n"/>
      <c r="D264" s="8" t="n"/>
      <c r="E264" s="8" t="n"/>
      <c r="F264" s="11" t="n"/>
      <c r="G264" s="14">
        <f>IF($F264="","",ROUND($F264/1.1,0))</f>
        <v/>
      </c>
      <c r="H264" s="14">
        <f>IF($F264="","",IF(기본설정!$C$9="일반과세자",$F264-$G264,0))</f>
        <v/>
      </c>
      <c r="I264" s="8" t="n"/>
      <c r="J264" s="8" t="n"/>
    </row>
    <row r="265">
      <c r="B265" s="13" t="n"/>
      <c r="C265" s="8" t="n"/>
      <c r="D265" s="8" t="n"/>
      <c r="E265" s="8" t="n"/>
      <c r="F265" s="11" t="n"/>
      <c r="G265" s="14">
        <f>IF($F265="","",ROUND($F265/1.1,0))</f>
        <v/>
      </c>
      <c r="H265" s="14">
        <f>IF($F265="","",IF(기본설정!$C$9="일반과세자",$F265-$G265,0))</f>
        <v/>
      </c>
      <c r="I265" s="8" t="n"/>
      <c r="J265" s="8" t="n"/>
    </row>
    <row r="266">
      <c r="B266" s="13" t="n"/>
      <c r="C266" s="8" t="n"/>
      <c r="D266" s="8" t="n"/>
      <c r="E266" s="8" t="n"/>
      <c r="F266" s="11" t="n"/>
      <c r="G266" s="14">
        <f>IF($F266="","",ROUND($F266/1.1,0))</f>
        <v/>
      </c>
      <c r="H266" s="14">
        <f>IF($F266="","",IF(기본설정!$C$9="일반과세자",$F266-$G266,0))</f>
        <v/>
      </c>
      <c r="I266" s="8" t="n"/>
      <c r="J266" s="8" t="n"/>
    </row>
    <row r="267">
      <c r="B267" s="13" t="n"/>
      <c r="C267" s="8" t="n"/>
      <c r="D267" s="8" t="n"/>
      <c r="E267" s="8" t="n"/>
      <c r="F267" s="11" t="n"/>
      <c r="G267" s="14">
        <f>IF($F267="","",ROUND($F267/1.1,0))</f>
        <v/>
      </c>
      <c r="H267" s="14">
        <f>IF($F267="","",IF(기본설정!$C$9="일반과세자",$F267-$G267,0))</f>
        <v/>
      </c>
      <c r="I267" s="8" t="n"/>
      <c r="J267" s="8" t="n"/>
    </row>
    <row r="268">
      <c r="B268" s="13" t="n"/>
      <c r="C268" s="8" t="n"/>
      <c r="D268" s="8" t="n"/>
      <c r="E268" s="8" t="n"/>
      <c r="F268" s="11" t="n"/>
      <c r="G268" s="14">
        <f>IF($F268="","",ROUND($F268/1.1,0))</f>
        <v/>
      </c>
      <c r="H268" s="14">
        <f>IF($F268="","",IF(기본설정!$C$9="일반과세자",$F268-$G268,0))</f>
        <v/>
      </c>
      <c r="I268" s="8" t="n"/>
      <c r="J268" s="8" t="n"/>
    </row>
    <row r="269">
      <c r="B269" s="13" t="n"/>
      <c r="C269" s="8" t="n"/>
      <c r="D269" s="8" t="n"/>
      <c r="E269" s="8" t="n"/>
      <c r="F269" s="11" t="n"/>
      <c r="G269" s="14">
        <f>IF($F269="","",ROUND($F269/1.1,0))</f>
        <v/>
      </c>
      <c r="H269" s="14">
        <f>IF($F269="","",IF(기본설정!$C$9="일반과세자",$F269-$G269,0))</f>
        <v/>
      </c>
      <c r="I269" s="8" t="n"/>
      <c r="J269" s="8" t="n"/>
    </row>
    <row r="270">
      <c r="B270" s="13" t="n"/>
      <c r="C270" s="8" t="n"/>
      <c r="D270" s="8" t="n"/>
      <c r="E270" s="8" t="n"/>
      <c r="F270" s="11" t="n"/>
      <c r="G270" s="14">
        <f>IF($F270="","",ROUND($F270/1.1,0))</f>
        <v/>
      </c>
      <c r="H270" s="14">
        <f>IF($F270="","",IF(기본설정!$C$9="일반과세자",$F270-$G270,0))</f>
        <v/>
      </c>
      <c r="I270" s="8" t="n"/>
      <c r="J270" s="8" t="n"/>
    </row>
    <row r="271">
      <c r="B271" s="13" t="n"/>
      <c r="C271" s="8" t="n"/>
      <c r="D271" s="8" t="n"/>
      <c r="E271" s="8" t="n"/>
      <c r="F271" s="11" t="n"/>
      <c r="G271" s="14">
        <f>IF($F271="","",ROUND($F271/1.1,0))</f>
        <v/>
      </c>
      <c r="H271" s="14">
        <f>IF($F271="","",IF(기본설정!$C$9="일반과세자",$F271-$G271,0))</f>
        <v/>
      </c>
      <c r="I271" s="8" t="n"/>
      <c r="J271" s="8" t="n"/>
    </row>
    <row r="272">
      <c r="B272" s="13" t="n"/>
      <c r="C272" s="8" t="n"/>
      <c r="D272" s="8" t="n"/>
      <c r="E272" s="8" t="n"/>
      <c r="F272" s="11" t="n"/>
      <c r="G272" s="14">
        <f>IF($F272="","",ROUND($F272/1.1,0))</f>
        <v/>
      </c>
      <c r="H272" s="14">
        <f>IF($F272="","",IF(기본설정!$C$9="일반과세자",$F272-$G272,0))</f>
        <v/>
      </c>
      <c r="I272" s="8" t="n"/>
      <c r="J272" s="8" t="n"/>
    </row>
    <row r="273">
      <c r="B273" s="13" t="n"/>
      <c r="C273" s="8" t="n"/>
      <c r="D273" s="8" t="n"/>
      <c r="E273" s="8" t="n"/>
      <c r="F273" s="11" t="n"/>
      <c r="G273" s="14">
        <f>IF($F273="","",ROUND($F273/1.1,0))</f>
        <v/>
      </c>
      <c r="H273" s="14">
        <f>IF($F273="","",IF(기본설정!$C$9="일반과세자",$F273-$G273,0))</f>
        <v/>
      </c>
      <c r="I273" s="8" t="n"/>
      <c r="J273" s="8" t="n"/>
    </row>
    <row r="274">
      <c r="B274" s="13" t="n"/>
      <c r="C274" s="8" t="n"/>
      <c r="D274" s="8" t="n"/>
      <c r="E274" s="8" t="n"/>
      <c r="F274" s="11" t="n"/>
      <c r="G274" s="14">
        <f>IF($F274="","",ROUND($F274/1.1,0))</f>
        <v/>
      </c>
      <c r="H274" s="14">
        <f>IF($F274="","",IF(기본설정!$C$9="일반과세자",$F274-$G274,0))</f>
        <v/>
      </c>
      <c r="I274" s="8" t="n"/>
      <c r="J274" s="8" t="n"/>
    </row>
    <row r="275">
      <c r="B275" s="13" t="n"/>
      <c r="C275" s="8" t="n"/>
      <c r="D275" s="8" t="n"/>
      <c r="E275" s="8" t="n"/>
      <c r="F275" s="11" t="n"/>
      <c r="G275" s="14">
        <f>IF($F275="","",ROUND($F275/1.1,0))</f>
        <v/>
      </c>
      <c r="H275" s="14">
        <f>IF($F275="","",IF(기본설정!$C$9="일반과세자",$F275-$G275,0))</f>
        <v/>
      </c>
      <c r="I275" s="8" t="n"/>
      <c r="J275" s="8" t="n"/>
    </row>
    <row r="276">
      <c r="B276" s="13" t="n"/>
      <c r="C276" s="8" t="n"/>
      <c r="D276" s="8" t="n"/>
      <c r="E276" s="8" t="n"/>
      <c r="F276" s="11" t="n"/>
      <c r="G276" s="14">
        <f>IF($F276="","",ROUND($F276/1.1,0))</f>
        <v/>
      </c>
      <c r="H276" s="14">
        <f>IF($F276="","",IF(기본설정!$C$9="일반과세자",$F276-$G276,0))</f>
        <v/>
      </c>
      <c r="I276" s="8" t="n"/>
      <c r="J276" s="8" t="n"/>
    </row>
    <row r="277">
      <c r="B277" s="13" t="n"/>
      <c r="C277" s="8" t="n"/>
      <c r="D277" s="8" t="n"/>
      <c r="E277" s="8" t="n"/>
      <c r="F277" s="11" t="n"/>
      <c r="G277" s="14">
        <f>IF($F277="","",ROUND($F277/1.1,0))</f>
        <v/>
      </c>
      <c r="H277" s="14">
        <f>IF($F277="","",IF(기본설정!$C$9="일반과세자",$F277-$G277,0))</f>
        <v/>
      </c>
      <c r="I277" s="8" t="n"/>
      <c r="J277" s="8" t="n"/>
    </row>
    <row r="278">
      <c r="B278" s="13" t="n"/>
      <c r="C278" s="8" t="n"/>
      <c r="D278" s="8" t="n"/>
      <c r="E278" s="8" t="n"/>
      <c r="F278" s="11" t="n"/>
      <c r="G278" s="14">
        <f>IF($F278="","",ROUND($F278/1.1,0))</f>
        <v/>
      </c>
      <c r="H278" s="14">
        <f>IF($F278="","",IF(기본설정!$C$9="일반과세자",$F278-$G278,0))</f>
        <v/>
      </c>
      <c r="I278" s="8" t="n"/>
      <c r="J278" s="8" t="n"/>
    </row>
    <row r="279">
      <c r="B279" s="13" t="n"/>
      <c r="C279" s="8" t="n"/>
      <c r="D279" s="8" t="n"/>
      <c r="E279" s="8" t="n"/>
      <c r="F279" s="11" t="n"/>
      <c r="G279" s="14">
        <f>IF($F279="","",ROUND($F279/1.1,0))</f>
        <v/>
      </c>
      <c r="H279" s="14">
        <f>IF($F279="","",IF(기본설정!$C$9="일반과세자",$F279-$G279,0))</f>
        <v/>
      </c>
      <c r="I279" s="8" t="n"/>
      <c r="J279" s="8" t="n"/>
    </row>
    <row r="280">
      <c r="B280" s="13" t="n"/>
      <c r="C280" s="8" t="n"/>
      <c r="D280" s="8" t="n"/>
      <c r="E280" s="8" t="n"/>
      <c r="F280" s="11" t="n"/>
      <c r="G280" s="14">
        <f>IF($F280="","",ROUND($F280/1.1,0))</f>
        <v/>
      </c>
      <c r="H280" s="14">
        <f>IF($F280="","",IF(기본설정!$C$9="일반과세자",$F280-$G280,0))</f>
        <v/>
      </c>
      <c r="I280" s="8" t="n"/>
      <c r="J280" s="8" t="n"/>
    </row>
    <row r="281">
      <c r="B281" s="13" t="n"/>
      <c r="C281" s="8" t="n"/>
      <c r="D281" s="8" t="n"/>
      <c r="E281" s="8" t="n"/>
      <c r="F281" s="11" t="n"/>
      <c r="G281" s="14">
        <f>IF($F281="","",ROUND($F281/1.1,0))</f>
        <v/>
      </c>
      <c r="H281" s="14">
        <f>IF($F281="","",IF(기본설정!$C$9="일반과세자",$F281-$G281,0))</f>
        <v/>
      </c>
      <c r="I281" s="8" t="n"/>
      <c r="J281" s="8" t="n"/>
    </row>
    <row r="282">
      <c r="B282" s="13" t="n"/>
      <c r="C282" s="8" t="n"/>
      <c r="D282" s="8" t="n"/>
      <c r="E282" s="8" t="n"/>
      <c r="F282" s="11" t="n"/>
      <c r="G282" s="14">
        <f>IF($F282="","",ROUND($F282/1.1,0))</f>
        <v/>
      </c>
      <c r="H282" s="14">
        <f>IF($F282="","",IF(기본설정!$C$9="일반과세자",$F282-$G282,0))</f>
        <v/>
      </c>
      <c r="I282" s="8" t="n"/>
      <c r="J282" s="8" t="n"/>
    </row>
    <row r="283">
      <c r="B283" s="13" t="n"/>
      <c r="C283" s="8" t="n"/>
      <c r="D283" s="8" t="n"/>
      <c r="E283" s="8" t="n"/>
      <c r="F283" s="11" t="n"/>
      <c r="G283" s="14">
        <f>IF($F283="","",ROUND($F283/1.1,0))</f>
        <v/>
      </c>
      <c r="H283" s="14">
        <f>IF($F283="","",IF(기본설정!$C$9="일반과세자",$F283-$G283,0))</f>
        <v/>
      </c>
      <c r="I283" s="8" t="n"/>
      <c r="J283" s="8" t="n"/>
    </row>
    <row r="284">
      <c r="B284" s="13" t="n"/>
      <c r="C284" s="8" t="n"/>
      <c r="D284" s="8" t="n"/>
      <c r="E284" s="8" t="n"/>
      <c r="F284" s="11" t="n"/>
      <c r="G284" s="14">
        <f>IF($F284="","",ROUND($F284/1.1,0))</f>
        <v/>
      </c>
      <c r="H284" s="14">
        <f>IF($F284="","",IF(기본설정!$C$9="일반과세자",$F284-$G284,0))</f>
        <v/>
      </c>
      <c r="I284" s="8" t="n"/>
      <c r="J284" s="8" t="n"/>
    </row>
    <row r="285">
      <c r="B285" s="13" t="n"/>
      <c r="C285" s="8" t="n"/>
      <c r="D285" s="8" t="n"/>
      <c r="E285" s="8" t="n"/>
      <c r="F285" s="11" t="n"/>
      <c r="G285" s="14">
        <f>IF($F285="","",ROUND($F285/1.1,0))</f>
        <v/>
      </c>
      <c r="H285" s="14">
        <f>IF($F285="","",IF(기본설정!$C$9="일반과세자",$F285-$G285,0))</f>
        <v/>
      </c>
      <c r="I285" s="8" t="n"/>
      <c r="J285" s="8" t="n"/>
    </row>
    <row r="286">
      <c r="B286" s="13" t="n"/>
      <c r="C286" s="8" t="n"/>
      <c r="D286" s="8" t="n"/>
      <c r="E286" s="8" t="n"/>
      <c r="F286" s="11" t="n"/>
      <c r="G286" s="14">
        <f>IF($F286="","",ROUND($F286/1.1,0))</f>
        <v/>
      </c>
      <c r="H286" s="14">
        <f>IF($F286="","",IF(기본설정!$C$9="일반과세자",$F286-$G286,0))</f>
        <v/>
      </c>
      <c r="I286" s="8" t="n"/>
      <c r="J286" s="8" t="n"/>
    </row>
    <row r="287">
      <c r="B287" s="13" t="n"/>
      <c r="C287" s="8" t="n"/>
      <c r="D287" s="8" t="n"/>
      <c r="E287" s="8" t="n"/>
      <c r="F287" s="11" t="n"/>
      <c r="G287" s="14">
        <f>IF($F287="","",ROUND($F287/1.1,0))</f>
        <v/>
      </c>
      <c r="H287" s="14">
        <f>IF($F287="","",IF(기본설정!$C$9="일반과세자",$F287-$G287,0))</f>
        <v/>
      </c>
      <c r="I287" s="8" t="n"/>
      <c r="J287" s="8" t="n"/>
    </row>
    <row r="288">
      <c r="B288" s="13" t="n"/>
      <c r="C288" s="8" t="n"/>
      <c r="D288" s="8" t="n"/>
      <c r="E288" s="8" t="n"/>
      <c r="F288" s="11" t="n"/>
      <c r="G288" s="14">
        <f>IF($F288="","",ROUND($F288/1.1,0))</f>
        <v/>
      </c>
      <c r="H288" s="14">
        <f>IF($F288="","",IF(기본설정!$C$9="일반과세자",$F288-$G288,0))</f>
        <v/>
      </c>
      <c r="I288" s="8" t="n"/>
      <c r="J288" s="8" t="n"/>
    </row>
    <row r="289">
      <c r="B289" s="13" t="n"/>
      <c r="C289" s="8" t="n"/>
      <c r="D289" s="8" t="n"/>
      <c r="E289" s="8" t="n"/>
      <c r="F289" s="11" t="n"/>
      <c r="G289" s="14">
        <f>IF($F289="","",ROUND($F289/1.1,0))</f>
        <v/>
      </c>
      <c r="H289" s="14">
        <f>IF($F289="","",IF(기본설정!$C$9="일반과세자",$F289-$G289,0))</f>
        <v/>
      </c>
      <c r="I289" s="8" t="n"/>
      <c r="J289" s="8" t="n"/>
    </row>
    <row r="290">
      <c r="B290" s="13" t="n"/>
      <c r="C290" s="8" t="n"/>
      <c r="D290" s="8" t="n"/>
      <c r="E290" s="8" t="n"/>
      <c r="F290" s="11" t="n"/>
      <c r="G290" s="14">
        <f>IF($F290="","",ROUND($F290/1.1,0))</f>
        <v/>
      </c>
      <c r="H290" s="14">
        <f>IF($F290="","",IF(기본설정!$C$9="일반과세자",$F290-$G290,0))</f>
        <v/>
      </c>
      <c r="I290" s="8" t="n"/>
      <c r="J290" s="8" t="n"/>
    </row>
    <row r="291">
      <c r="B291" s="13" t="n"/>
      <c r="C291" s="8" t="n"/>
      <c r="D291" s="8" t="n"/>
      <c r="E291" s="8" t="n"/>
      <c r="F291" s="11" t="n"/>
      <c r="G291" s="14">
        <f>IF($F291="","",ROUND($F291/1.1,0))</f>
        <v/>
      </c>
      <c r="H291" s="14">
        <f>IF($F291="","",IF(기본설정!$C$9="일반과세자",$F291-$G291,0))</f>
        <v/>
      </c>
      <c r="I291" s="8" t="n"/>
      <c r="J291" s="8" t="n"/>
    </row>
    <row r="292">
      <c r="B292" s="13" t="n"/>
      <c r="C292" s="8" t="n"/>
      <c r="D292" s="8" t="n"/>
      <c r="E292" s="8" t="n"/>
      <c r="F292" s="11" t="n"/>
      <c r="G292" s="14">
        <f>IF($F292="","",ROUND($F292/1.1,0))</f>
        <v/>
      </c>
      <c r="H292" s="14">
        <f>IF($F292="","",IF(기본설정!$C$9="일반과세자",$F292-$G292,0))</f>
        <v/>
      </c>
      <c r="I292" s="8" t="n"/>
      <c r="J292" s="8" t="n"/>
    </row>
    <row r="293">
      <c r="B293" s="13" t="n"/>
      <c r="C293" s="8" t="n"/>
      <c r="D293" s="8" t="n"/>
      <c r="E293" s="8" t="n"/>
      <c r="F293" s="11" t="n"/>
      <c r="G293" s="14">
        <f>IF($F293="","",ROUND($F293/1.1,0))</f>
        <v/>
      </c>
      <c r="H293" s="14">
        <f>IF($F293="","",IF(기본설정!$C$9="일반과세자",$F293-$G293,0))</f>
        <v/>
      </c>
      <c r="I293" s="8" t="n"/>
      <c r="J293" s="8" t="n"/>
    </row>
    <row r="294">
      <c r="B294" s="13" t="n"/>
      <c r="C294" s="8" t="n"/>
      <c r="D294" s="8" t="n"/>
      <c r="E294" s="8" t="n"/>
      <c r="F294" s="11" t="n"/>
      <c r="G294" s="14">
        <f>IF($F294="","",ROUND($F294/1.1,0))</f>
        <v/>
      </c>
      <c r="H294" s="14">
        <f>IF($F294="","",IF(기본설정!$C$9="일반과세자",$F294-$G294,0))</f>
        <v/>
      </c>
      <c r="I294" s="8" t="n"/>
      <c r="J294" s="8" t="n"/>
    </row>
    <row r="295">
      <c r="B295" s="13" t="n"/>
      <c r="C295" s="8" t="n"/>
      <c r="D295" s="8" t="n"/>
      <c r="E295" s="8" t="n"/>
      <c r="F295" s="11" t="n"/>
      <c r="G295" s="14">
        <f>IF($F295="","",ROUND($F295/1.1,0))</f>
        <v/>
      </c>
      <c r="H295" s="14">
        <f>IF($F295="","",IF(기본설정!$C$9="일반과세자",$F295-$G295,0))</f>
        <v/>
      </c>
      <c r="I295" s="8" t="n"/>
      <c r="J295" s="8" t="n"/>
    </row>
    <row r="296">
      <c r="B296" s="13" t="n"/>
      <c r="C296" s="8" t="n"/>
      <c r="D296" s="8" t="n"/>
      <c r="E296" s="8" t="n"/>
      <c r="F296" s="11" t="n"/>
      <c r="G296" s="14">
        <f>IF($F296="","",ROUND($F296/1.1,0))</f>
        <v/>
      </c>
      <c r="H296" s="14">
        <f>IF($F296="","",IF(기본설정!$C$9="일반과세자",$F296-$G296,0))</f>
        <v/>
      </c>
      <c r="I296" s="8" t="n"/>
      <c r="J296" s="8" t="n"/>
    </row>
    <row r="297">
      <c r="B297" s="13" t="n"/>
      <c r="C297" s="8" t="n"/>
      <c r="D297" s="8" t="n"/>
      <c r="E297" s="8" t="n"/>
      <c r="F297" s="11" t="n"/>
      <c r="G297" s="14">
        <f>IF($F297="","",ROUND($F297/1.1,0))</f>
        <v/>
      </c>
      <c r="H297" s="14">
        <f>IF($F297="","",IF(기본설정!$C$9="일반과세자",$F297-$G297,0))</f>
        <v/>
      </c>
      <c r="I297" s="8" t="n"/>
      <c r="J297" s="8" t="n"/>
    </row>
    <row r="298">
      <c r="B298" s="13" t="n"/>
      <c r="C298" s="8" t="n"/>
      <c r="D298" s="8" t="n"/>
      <c r="E298" s="8" t="n"/>
      <c r="F298" s="11" t="n"/>
      <c r="G298" s="14">
        <f>IF($F298="","",ROUND($F298/1.1,0))</f>
        <v/>
      </c>
      <c r="H298" s="14">
        <f>IF($F298="","",IF(기본설정!$C$9="일반과세자",$F298-$G298,0))</f>
        <v/>
      </c>
      <c r="I298" s="8" t="n"/>
      <c r="J298" s="8" t="n"/>
    </row>
    <row r="299">
      <c r="B299" s="13" t="n"/>
      <c r="C299" s="8" t="n"/>
      <c r="D299" s="8" t="n"/>
      <c r="E299" s="8" t="n"/>
      <c r="F299" s="11" t="n"/>
      <c r="G299" s="14">
        <f>IF($F299="","",ROUND($F299/1.1,0))</f>
        <v/>
      </c>
      <c r="H299" s="14">
        <f>IF($F299="","",IF(기본설정!$C$9="일반과세자",$F299-$G299,0))</f>
        <v/>
      </c>
      <c r="I299" s="8" t="n"/>
      <c r="J299" s="8" t="n"/>
    </row>
    <row r="300">
      <c r="B300" s="13" t="n"/>
      <c r="C300" s="8" t="n"/>
      <c r="D300" s="8" t="n"/>
      <c r="E300" s="8" t="n"/>
      <c r="F300" s="11" t="n"/>
      <c r="G300" s="14">
        <f>IF($F300="","",ROUND($F300/1.1,0))</f>
        <v/>
      </c>
      <c r="H300" s="14">
        <f>IF($F300="","",IF(기본설정!$C$9="일반과세자",$F300-$G300,0))</f>
        <v/>
      </c>
      <c r="I300" s="8" t="n"/>
      <c r="J300" s="8" t="n"/>
    </row>
    <row r="301">
      <c r="B301" s="13" t="n"/>
      <c r="C301" s="8" t="n"/>
      <c r="D301" s="8" t="n"/>
      <c r="E301" s="8" t="n"/>
      <c r="F301" s="11" t="n"/>
      <c r="G301" s="14">
        <f>IF($F301="","",ROUND($F301/1.1,0))</f>
        <v/>
      </c>
      <c r="H301" s="14">
        <f>IF($F301="","",IF(기본설정!$C$9="일반과세자",$F301-$G301,0))</f>
        <v/>
      </c>
      <c r="I301" s="8" t="n"/>
      <c r="J301" s="8" t="n"/>
    </row>
    <row r="302">
      <c r="B302" s="13" t="n"/>
      <c r="C302" s="8" t="n"/>
      <c r="D302" s="8" t="n"/>
      <c r="E302" s="8" t="n"/>
      <c r="F302" s="11" t="n"/>
      <c r="G302" s="14">
        <f>IF($F302="","",ROUND($F302/1.1,0))</f>
        <v/>
      </c>
      <c r="H302" s="14">
        <f>IF($F302="","",IF(기본설정!$C$9="일반과세자",$F302-$G302,0))</f>
        <v/>
      </c>
      <c r="I302" s="8" t="n"/>
      <c r="J302" s="8" t="n"/>
    </row>
    <row r="303">
      <c r="B303" s="13" t="n"/>
      <c r="C303" s="8" t="n"/>
      <c r="D303" s="8" t="n"/>
      <c r="E303" s="8" t="n"/>
      <c r="F303" s="11" t="n"/>
      <c r="G303" s="14">
        <f>IF($F303="","",ROUND($F303/1.1,0))</f>
        <v/>
      </c>
      <c r="H303" s="14">
        <f>IF($F303="","",IF(기본설정!$C$9="일반과세자",$F303-$G303,0))</f>
        <v/>
      </c>
      <c r="I303" s="8" t="n"/>
      <c r="J303" s="8" t="n"/>
    </row>
    <row r="304">
      <c r="B304" s="13" t="n"/>
      <c r="C304" s="8" t="n"/>
      <c r="D304" s="8" t="n"/>
      <c r="E304" s="8" t="n"/>
      <c r="F304" s="11" t="n"/>
      <c r="G304" s="14">
        <f>IF($F304="","",ROUND($F304/1.1,0))</f>
        <v/>
      </c>
      <c r="H304" s="14">
        <f>IF($F304="","",IF(기본설정!$C$9="일반과세자",$F304-$G304,0))</f>
        <v/>
      </c>
      <c r="I304" s="8" t="n"/>
      <c r="J304" s="8" t="n"/>
    </row>
    <row r="305">
      <c r="B305" s="13" t="n"/>
      <c r="C305" s="8" t="n"/>
      <c r="D305" s="8" t="n"/>
      <c r="E305" s="8" t="n"/>
      <c r="F305" s="11" t="n"/>
      <c r="G305" s="14">
        <f>IF($F305="","",ROUND($F305/1.1,0))</f>
        <v/>
      </c>
      <c r="H305" s="14">
        <f>IF($F305="","",IF(기본설정!$C$9="일반과세자",$F305-$G305,0))</f>
        <v/>
      </c>
      <c r="I305" s="8" t="n"/>
      <c r="J305" s="8" t="n"/>
    </row>
    <row r="306">
      <c r="B306" s="13" t="n"/>
      <c r="C306" s="8" t="n"/>
      <c r="D306" s="8" t="n"/>
      <c r="E306" s="8" t="n"/>
      <c r="F306" s="11" t="n"/>
      <c r="G306" s="14">
        <f>IF($F306="","",ROUND($F306/1.1,0))</f>
        <v/>
      </c>
      <c r="H306" s="14">
        <f>IF($F306="","",IF(기본설정!$C$9="일반과세자",$F306-$G306,0))</f>
        <v/>
      </c>
      <c r="I306" s="8" t="n"/>
      <c r="J306" s="8" t="n"/>
    </row>
    <row r="307">
      <c r="B307" s="13" t="n"/>
      <c r="C307" s="8" t="n"/>
      <c r="D307" s="8" t="n"/>
      <c r="E307" s="8" t="n"/>
      <c r="F307" s="11" t="n"/>
      <c r="G307" s="14">
        <f>IF($F307="","",ROUND($F307/1.1,0))</f>
        <v/>
      </c>
      <c r="H307" s="14">
        <f>IF($F307="","",IF(기본설정!$C$9="일반과세자",$F307-$G307,0))</f>
        <v/>
      </c>
      <c r="I307" s="8" t="n"/>
      <c r="J307" s="8" t="n"/>
    </row>
    <row r="308">
      <c r="B308" s="13" t="n"/>
      <c r="C308" s="8" t="n"/>
      <c r="D308" s="8" t="n"/>
      <c r="E308" s="8" t="n"/>
      <c r="F308" s="11" t="n"/>
      <c r="G308" s="14">
        <f>IF($F308="","",ROUND($F308/1.1,0))</f>
        <v/>
      </c>
      <c r="H308" s="14">
        <f>IF($F308="","",IF(기본설정!$C$9="일반과세자",$F308-$G308,0))</f>
        <v/>
      </c>
      <c r="I308" s="8" t="n"/>
      <c r="J308" s="8" t="n"/>
    </row>
    <row r="309">
      <c r="B309" s="13" t="n"/>
      <c r="C309" s="8" t="n"/>
      <c r="D309" s="8" t="n"/>
      <c r="E309" s="8" t="n"/>
      <c r="F309" s="11" t="n"/>
      <c r="G309" s="14">
        <f>IF($F309="","",ROUND($F309/1.1,0))</f>
        <v/>
      </c>
      <c r="H309" s="14">
        <f>IF($F309="","",IF(기본설정!$C$9="일반과세자",$F309-$G309,0))</f>
        <v/>
      </c>
      <c r="I309" s="8" t="n"/>
      <c r="J309" s="8" t="n"/>
    </row>
    <row r="310">
      <c r="B310" s="13" t="n"/>
      <c r="C310" s="8" t="n"/>
      <c r="D310" s="8" t="n"/>
      <c r="E310" s="8" t="n"/>
      <c r="F310" s="11" t="n"/>
      <c r="G310" s="14">
        <f>IF($F310="","",ROUND($F310/1.1,0))</f>
        <v/>
      </c>
      <c r="H310" s="14">
        <f>IF($F310="","",IF(기본설정!$C$9="일반과세자",$F310-$G310,0))</f>
        <v/>
      </c>
      <c r="I310" s="8" t="n"/>
      <c r="J310" s="8" t="n"/>
    </row>
    <row r="311">
      <c r="B311" s="13" t="n"/>
      <c r="C311" s="8" t="n"/>
      <c r="D311" s="8" t="n"/>
      <c r="E311" s="8" t="n"/>
      <c r="F311" s="11" t="n"/>
      <c r="G311" s="14">
        <f>IF($F311="","",ROUND($F311/1.1,0))</f>
        <v/>
      </c>
      <c r="H311" s="14">
        <f>IF($F311="","",IF(기본설정!$C$9="일반과세자",$F311-$G311,0))</f>
        <v/>
      </c>
      <c r="I311" s="8" t="n"/>
      <c r="J311" s="8" t="n"/>
    </row>
    <row r="312">
      <c r="B312" s="13" t="n"/>
      <c r="C312" s="8" t="n"/>
      <c r="D312" s="8" t="n"/>
      <c r="E312" s="8" t="n"/>
      <c r="F312" s="11" t="n"/>
      <c r="G312" s="14">
        <f>IF($F312="","",ROUND($F312/1.1,0))</f>
        <v/>
      </c>
      <c r="H312" s="14">
        <f>IF($F312="","",IF(기본설정!$C$9="일반과세자",$F312-$G312,0))</f>
        <v/>
      </c>
      <c r="I312" s="8" t="n"/>
      <c r="J312" s="8" t="n"/>
    </row>
    <row r="313">
      <c r="B313" s="13" t="n"/>
      <c r="C313" s="8" t="n"/>
      <c r="D313" s="8" t="n"/>
      <c r="E313" s="8" t="n"/>
      <c r="F313" s="11" t="n"/>
      <c r="G313" s="14">
        <f>IF($F313="","",ROUND($F313/1.1,0))</f>
        <v/>
      </c>
      <c r="H313" s="14">
        <f>IF($F313="","",IF(기본설정!$C$9="일반과세자",$F313-$G313,0))</f>
        <v/>
      </c>
      <c r="I313" s="8" t="n"/>
      <c r="J313" s="8" t="n"/>
    </row>
    <row r="314">
      <c r="B314" s="13" t="n"/>
      <c r="C314" s="8" t="n"/>
      <c r="D314" s="8" t="n"/>
      <c r="E314" s="8" t="n"/>
      <c r="F314" s="11" t="n"/>
      <c r="G314" s="14">
        <f>IF($F314="","",ROUND($F314/1.1,0))</f>
        <v/>
      </c>
      <c r="H314" s="14">
        <f>IF($F314="","",IF(기본설정!$C$9="일반과세자",$F314-$G314,0))</f>
        <v/>
      </c>
      <c r="I314" s="8" t="n"/>
      <c r="J314" s="8" t="n"/>
    </row>
    <row r="315">
      <c r="B315" s="13" t="n"/>
      <c r="C315" s="8" t="n"/>
      <c r="D315" s="8" t="n"/>
      <c r="E315" s="8" t="n"/>
      <c r="F315" s="11" t="n"/>
      <c r="G315" s="14">
        <f>IF($F315="","",ROUND($F315/1.1,0))</f>
        <v/>
      </c>
      <c r="H315" s="14">
        <f>IF($F315="","",IF(기본설정!$C$9="일반과세자",$F315-$G315,0))</f>
        <v/>
      </c>
      <c r="I315" s="8" t="n"/>
      <c r="J315" s="8" t="n"/>
    </row>
    <row r="316">
      <c r="B316" s="13" t="n"/>
      <c r="C316" s="8" t="n"/>
      <c r="D316" s="8" t="n"/>
      <c r="E316" s="8" t="n"/>
      <c r="F316" s="11" t="n"/>
      <c r="G316" s="14">
        <f>IF($F316="","",ROUND($F316/1.1,0))</f>
        <v/>
      </c>
      <c r="H316" s="14">
        <f>IF($F316="","",IF(기본설정!$C$9="일반과세자",$F316-$G316,0))</f>
        <v/>
      </c>
      <c r="I316" s="8" t="n"/>
      <c r="J316" s="8" t="n"/>
    </row>
    <row r="317">
      <c r="B317" s="13" t="n"/>
      <c r="C317" s="8" t="n"/>
      <c r="D317" s="8" t="n"/>
      <c r="E317" s="8" t="n"/>
      <c r="F317" s="11" t="n"/>
      <c r="G317" s="14">
        <f>IF($F317="","",ROUND($F317/1.1,0))</f>
        <v/>
      </c>
      <c r="H317" s="14">
        <f>IF($F317="","",IF(기본설정!$C$9="일반과세자",$F317-$G317,0))</f>
        <v/>
      </c>
      <c r="I317" s="8" t="n"/>
      <c r="J317" s="8" t="n"/>
    </row>
    <row r="318">
      <c r="B318" s="13" t="n"/>
      <c r="C318" s="8" t="n"/>
      <c r="D318" s="8" t="n"/>
      <c r="E318" s="8" t="n"/>
      <c r="F318" s="11" t="n"/>
      <c r="G318" s="14">
        <f>IF($F318="","",ROUND($F318/1.1,0))</f>
        <v/>
      </c>
      <c r="H318" s="14">
        <f>IF($F318="","",IF(기본설정!$C$9="일반과세자",$F318-$G318,0))</f>
        <v/>
      </c>
      <c r="I318" s="8" t="n"/>
      <c r="J318" s="8" t="n"/>
    </row>
    <row r="319">
      <c r="B319" s="13" t="n"/>
      <c r="C319" s="8" t="n"/>
      <c r="D319" s="8" t="n"/>
      <c r="E319" s="8" t="n"/>
      <c r="F319" s="11" t="n"/>
      <c r="G319" s="14">
        <f>IF($F319="","",ROUND($F319/1.1,0))</f>
        <v/>
      </c>
      <c r="H319" s="14">
        <f>IF($F319="","",IF(기본설정!$C$9="일반과세자",$F319-$G319,0))</f>
        <v/>
      </c>
      <c r="I319" s="8" t="n"/>
      <c r="J319" s="8" t="n"/>
    </row>
    <row r="320">
      <c r="B320" s="13" t="n"/>
      <c r="C320" s="8" t="n"/>
      <c r="D320" s="8" t="n"/>
      <c r="E320" s="8" t="n"/>
      <c r="F320" s="11" t="n"/>
      <c r="G320" s="14">
        <f>IF($F320="","",ROUND($F320/1.1,0))</f>
        <v/>
      </c>
      <c r="H320" s="14">
        <f>IF($F320="","",IF(기본설정!$C$9="일반과세자",$F320-$G320,0))</f>
        <v/>
      </c>
      <c r="I320" s="8" t="n"/>
      <c r="J320" s="8" t="n"/>
    </row>
    <row r="321">
      <c r="B321" s="13" t="n"/>
      <c r="C321" s="8" t="n"/>
      <c r="D321" s="8" t="n"/>
      <c r="E321" s="8" t="n"/>
      <c r="F321" s="11" t="n"/>
      <c r="G321" s="14">
        <f>IF($F321="","",ROUND($F321/1.1,0))</f>
        <v/>
      </c>
      <c r="H321" s="14">
        <f>IF($F321="","",IF(기본설정!$C$9="일반과세자",$F321-$G321,0))</f>
        <v/>
      </c>
      <c r="I321" s="8" t="n"/>
      <c r="J321" s="8" t="n"/>
    </row>
    <row r="322">
      <c r="B322" s="13" t="n"/>
      <c r="C322" s="8" t="n"/>
      <c r="D322" s="8" t="n"/>
      <c r="E322" s="8" t="n"/>
      <c r="F322" s="11" t="n"/>
      <c r="G322" s="14">
        <f>IF($F322="","",ROUND($F322/1.1,0))</f>
        <v/>
      </c>
      <c r="H322" s="14">
        <f>IF($F322="","",IF(기본설정!$C$9="일반과세자",$F322-$G322,0))</f>
        <v/>
      </c>
      <c r="I322" s="8" t="n"/>
      <c r="J322" s="8" t="n"/>
    </row>
    <row r="323">
      <c r="B323" s="13" t="n"/>
      <c r="C323" s="8" t="n"/>
      <c r="D323" s="8" t="n"/>
      <c r="E323" s="8" t="n"/>
      <c r="F323" s="11" t="n"/>
      <c r="G323" s="14">
        <f>IF($F323="","",ROUND($F323/1.1,0))</f>
        <v/>
      </c>
      <c r="H323" s="14">
        <f>IF($F323="","",IF(기본설정!$C$9="일반과세자",$F323-$G323,0))</f>
        <v/>
      </c>
      <c r="I323" s="8" t="n"/>
      <c r="J323" s="8" t="n"/>
    </row>
    <row r="324">
      <c r="B324" s="13" t="n"/>
      <c r="C324" s="8" t="n"/>
      <c r="D324" s="8" t="n"/>
      <c r="E324" s="8" t="n"/>
      <c r="F324" s="11" t="n"/>
      <c r="G324" s="14">
        <f>IF($F324="","",ROUND($F324/1.1,0))</f>
        <v/>
      </c>
      <c r="H324" s="14">
        <f>IF($F324="","",IF(기본설정!$C$9="일반과세자",$F324-$G324,0))</f>
        <v/>
      </c>
      <c r="I324" s="8" t="n"/>
      <c r="J324" s="8" t="n"/>
    </row>
    <row r="325">
      <c r="B325" s="13" t="n"/>
      <c r="C325" s="8" t="n"/>
      <c r="D325" s="8" t="n"/>
      <c r="E325" s="8" t="n"/>
      <c r="F325" s="11" t="n"/>
      <c r="G325" s="14">
        <f>IF($F325="","",ROUND($F325/1.1,0))</f>
        <v/>
      </c>
      <c r="H325" s="14">
        <f>IF($F325="","",IF(기본설정!$C$9="일반과세자",$F325-$G325,0))</f>
        <v/>
      </c>
      <c r="I325" s="8" t="n"/>
      <c r="J325" s="8" t="n"/>
    </row>
    <row r="326">
      <c r="B326" s="13" t="n"/>
      <c r="C326" s="8" t="n"/>
      <c r="D326" s="8" t="n"/>
      <c r="E326" s="8" t="n"/>
      <c r="F326" s="11" t="n"/>
      <c r="G326" s="14">
        <f>IF($F326="","",ROUND($F326/1.1,0))</f>
        <v/>
      </c>
      <c r="H326" s="14">
        <f>IF($F326="","",IF(기본설정!$C$9="일반과세자",$F326-$G326,0))</f>
        <v/>
      </c>
      <c r="I326" s="8" t="n"/>
      <c r="J326" s="8" t="n"/>
    </row>
    <row r="327">
      <c r="B327" s="13" t="n"/>
      <c r="C327" s="8" t="n"/>
      <c r="D327" s="8" t="n"/>
      <c r="E327" s="8" t="n"/>
      <c r="F327" s="11" t="n"/>
      <c r="G327" s="14">
        <f>IF($F327="","",ROUND($F327/1.1,0))</f>
        <v/>
      </c>
      <c r="H327" s="14">
        <f>IF($F327="","",IF(기본설정!$C$9="일반과세자",$F327-$G327,0))</f>
        <v/>
      </c>
      <c r="I327" s="8" t="n"/>
      <c r="J327" s="8" t="n"/>
    </row>
    <row r="328">
      <c r="B328" s="13" t="n"/>
      <c r="C328" s="8" t="n"/>
      <c r="D328" s="8" t="n"/>
      <c r="E328" s="8" t="n"/>
      <c r="F328" s="11" t="n"/>
      <c r="G328" s="14">
        <f>IF($F328="","",ROUND($F328/1.1,0))</f>
        <v/>
      </c>
      <c r="H328" s="14">
        <f>IF($F328="","",IF(기본설정!$C$9="일반과세자",$F328-$G328,0))</f>
        <v/>
      </c>
      <c r="I328" s="8" t="n"/>
      <c r="J328" s="8" t="n"/>
    </row>
    <row r="329">
      <c r="B329" s="13" t="n"/>
      <c r="C329" s="8" t="n"/>
      <c r="D329" s="8" t="n"/>
      <c r="E329" s="8" t="n"/>
      <c r="F329" s="11" t="n"/>
      <c r="G329" s="14">
        <f>IF($F329="","",ROUND($F329/1.1,0))</f>
        <v/>
      </c>
      <c r="H329" s="14">
        <f>IF($F329="","",IF(기본설정!$C$9="일반과세자",$F329-$G329,0))</f>
        <v/>
      </c>
      <c r="I329" s="8" t="n"/>
      <c r="J329" s="8" t="n"/>
    </row>
    <row r="330">
      <c r="B330" s="13" t="n"/>
      <c r="C330" s="8" t="n"/>
      <c r="D330" s="8" t="n"/>
      <c r="E330" s="8" t="n"/>
      <c r="F330" s="11" t="n"/>
      <c r="G330" s="14">
        <f>IF($F330="","",ROUND($F330/1.1,0))</f>
        <v/>
      </c>
      <c r="H330" s="14">
        <f>IF($F330="","",IF(기본설정!$C$9="일반과세자",$F330-$G330,0))</f>
        <v/>
      </c>
      <c r="I330" s="8" t="n"/>
      <c r="J330" s="8" t="n"/>
    </row>
    <row r="331">
      <c r="B331" s="13" t="n"/>
      <c r="C331" s="8" t="n"/>
      <c r="D331" s="8" t="n"/>
      <c r="E331" s="8" t="n"/>
      <c r="F331" s="11" t="n"/>
      <c r="G331" s="14">
        <f>IF($F331="","",ROUND($F331/1.1,0))</f>
        <v/>
      </c>
      <c r="H331" s="14">
        <f>IF($F331="","",IF(기본설정!$C$9="일반과세자",$F331-$G331,0))</f>
        <v/>
      </c>
      <c r="I331" s="8" t="n"/>
      <c r="J331" s="8" t="n"/>
    </row>
    <row r="332">
      <c r="B332" s="13" t="n"/>
      <c r="C332" s="8" t="n"/>
      <c r="D332" s="8" t="n"/>
      <c r="E332" s="8" t="n"/>
      <c r="F332" s="11" t="n"/>
      <c r="G332" s="14">
        <f>IF($F332="","",ROUND($F332/1.1,0))</f>
        <v/>
      </c>
      <c r="H332" s="14">
        <f>IF($F332="","",IF(기본설정!$C$9="일반과세자",$F332-$G332,0))</f>
        <v/>
      </c>
      <c r="I332" s="8" t="n"/>
      <c r="J332" s="8" t="n"/>
    </row>
    <row r="333">
      <c r="B333" s="13" t="n"/>
      <c r="C333" s="8" t="n"/>
      <c r="D333" s="8" t="n"/>
      <c r="E333" s="8" t="n"/>
      <c r="F333" s="11" t="n"/>
      <c r="G333" s="14">
        <f>IF($F333="","",ROUND($F333/1.1,0))</f>
        <v/>
      </c>
      <c r="H333" s="14">
        <f>IF($F333="","",IF(기본설정!$C$9="일반과세자",$F333-$G333,0))</f>
        <v/>
      </c>
      <c r="I333" s="8" t="n"/>
      <c r="J333" s="8" t="n"/>
    </row>
    <row r="334">
      <c r="B334" s="13" t="n"/>
      <c r="C334" s="8" t="n"/>
      <c r="D334" s="8" t="n"/>
      <c r="E334" s="8" t="n"/>
      <c r="F334" s="11" t="n"/>
      <c r="G334" s="14">
        <f>IF($F334="","",ROUND($F334/1.1,0))</f>
        <v/>
      </c>
      <c r="H334" s="14">
        <f>IF($F334="","",IF(기본설정!$C$9="일반과세자",$F334-$G334,0))</f>
        <v/>
      </c>
      <c r="I334" s="8" t="n"/>
      <c r="J334" s="8" t="n"/>
    </row>
    <row r="335">
      <c r="B335" s="13" t="n"/>
      <c r="C335" s="8" t="n"/>
      <c r="D335" s="8" t="n"/>
      <c r="E335" s="8" t="n"/>
      <c r="F335" s="11" t="n"/>
      <c r="G335" s="14">
        <f>IF($F335="","",ROUND($F335/1.1,0))</f>
        <v/>
      </c>
      <c r="H335" s="14">
        <f>IF($F335="","",IF(기본설정!$C$9="일반과세자",$F335-$G335,0))</f>
        <v/>
      </c>
      <c r="I335" s="8" t="n"/>
      <c r="J335" s="8" t="n"/>
    </row>
    <row r="336">
      <c r="B336" s="13" t="n"/>
      <c r="C336" s="8" t="n"/>
      <c r="D336" s="8" t="n"/>
      <c r="E336" s="8" t="n"/>
      <c r="F336" s="11" t="n"/>
      <c r="G336" s="14">
        <f>IF($F336="","",ROUND($F336/1.1,0))</f>
        <v/>
      </c>
      <c r="H336" s="14">
        <f>IF($F336="","",IF(기본설정!$C$9="일반과세자",$F336-$G336,0))</f>
        <v/>
      </c>
      <c r="I336" s="8" t="n"/>
      <c r="J336" s="8" t="n"/>
    </row>
    <row r="337">
      <c r="B337" s="13" t="n"/>
      <c r="C337" s="8" t="n"/>
      <c r="D337" s="8" t="n"/>
      <c r="E337" s="8" t="n"/>
      <c r="F337" s="11" t="n"/>
      <c r="G337" s="14">
        <f>IF($F337="","",ROUND($F337/1.1,0))</f>
        <v/>
      </c>
      <c r="H337" s="14">
        <f>IF($F337="","",IF(기본설정!$C$9="일반과세자",$F337-$G337,0))</f>
        <v/>
      </c>
      <c r="I337" s="8" t="n"/>
      <c r="J337" s="8" t="n"/>
    </row>
    <row r="338">
      <c r="B338" s="13" t="n"/>
      <c r="C338" s="8" t="n"/>
      <c r="D338" s="8" t="n"/>
      <c r="E338" s="8" t="n"/>
      <c r="F338" s="11" t="n"/>
      <c r="G338" s="14">
        <f>IF($F338="","",ROUND($F338/1.1,0))</f>
        <v/>
      </c>
      <c r="H338" s="14">
        <f>IF($F338="","",IF(기본설정!$C$9="일반과세자",$F338-$G338,0))</f>
        <v/>
      </c>
      <c r="I338" s="8" t="n"/>
      <c r="J338" s="8" t="n"/>
    </row>
    <row r="339">
      <c r="B339" s="13" t="n"/>
      <c r="C339" s="8" t="n"/>
      <c r="D339" s="8" t="n"/>
      <c r="E339" s="8" t="n"/>
      <c r="F339" s="11" t="n"/>
      <c r="G339" s="14">
        <f>IF($F339="","",ROUND($F339/1.1,0))</f>
        <v/>
      </c>
      <c r="H339" s="14">
        <f>IF($F339="","",IF(기본설정!$C$9="일반과세자",$F339-$G339,0))</f>
        <v/>
      </c>
      <c r="I339" s="8" t="n"/>
      <c r="J339" s="8" t="n"/>
    </row>
    <row r="340">
      <c r="B340" s="13" t="n"/>
      <c r="C340" s="8" t="n"/>
      <c r="D340" s="8" t="n"/>
      <c r="E340" s="8" t="n"/>
      <c r="F340" s="11" t="n"/>
      <c r="G340" s="14">
        <f>IF($F340="","",ROUND($F340/1.1,0))</f>
        <v/>
      </c>
      <c r="H340" s="14">
        <f>IF($F340="","",IF(기본설정!$C$9="일반과세자",$F340-$G340,0))</f>
        <v/>
      </c>
      <c r="I340" s="8" t="n"/>
      <c r="J340" s="8" t="n"/>
    </row>
    <row r="341">
      <c r="B341" s="13" t="n"/>
      <c r="C341" s="8" t="n"/>
      <c r="D341" s="8" t="n"/>
      <c r="E341" s="8" t="n"/>
      <c r="F341" s="11" t="n"/>
      <c r="G341" s="14">
        <f>IF($F341="","",ROUND($F341/1.1,0))</f>
        <v/>
      </c>
      <c r="H341" s="14">
        <f>IF($F341="","",IF(기본설정!$C$9="일반과세자",$F341-$G341,0))</f>
        <v/>
      </c>
      <c r="I341" s="8" t="n"/>
      <c r="J341" s="8" t="n"/>
    </row>
    <row r="342">
      <c r="B342" s="13" t="n"/>
      <c r="C342" s="8" t="n"/>
      <c r="D342" s="8" t="n"/>
      <c r="E342" s="8" t="n"/>
      <c r="F342" s="11" t="n"/>
      <c r="G342" s="14">
        <f>IF($F342="","",ROUND($F342/1.1,0))</f>
        <v/>
      </c>
      <c r="H342" s="14">
        <f>IF($F342="","",IF(기본설정!$C$9="일반과세자",$F342-$G342,0))</f>
        <v/>
      </c>
      <c r="I342" s="8" t="n"/>
      <c r="J342" s="8" t="n"/>
    </row>
    <row r="343">
      <c r="B343" s="13" t="n"/>
      <c r="C343" s="8" t="n"/>
      <c r="D343" s="8" t="n"/>
      <c r="E343" s="8" t="n"/>
      <c r="F343" s="11" t="n"/>
      <c r="G343" s="14">
        <f>IF($F343="","",ROUND($F343/1.1,0))</f>
        <v/>
      </c>
      <c r="H343" s="14">
        <f>IF($F343="","",IF(기본설정!$C$9="일반과세자",$F343-$G343,0))</f>
        <v/>
      </c>
      <c r="I343" s="8" t="n"/>
      <c r="J343" s="8" t="n"/>
    </row>
    <row r="344">
      <c r="B344" s="13" t="n"/>
      <c r="C344" s="8" t="n"/>
      <c r="D344" s="8" t="n"/>
      <c r="E344" s="8" t="n"/>
      <c r="F344" s="11" t="n"/>
      <c r="G344" s="14">
        <f>IF($F344="","",ROUND($F344/1.1,0))</f>
        <v/>
      </c>
      <c r="H344" s="14">
        <f>IF($F344="","",IF(기본설정!$C$9="일반과세자",$F344-$G344,0))</f>
        <v/>
      </c>
      <c r="I344" s="8" t="n"/>
      <c r="J344" s="8" t="n"/>
    </row>
    <row r="345">
      <c r="B345" s="13" t="n"/>
      <c r="C345" s="8" t="n"/>
      <c r="D345" s="8" t="n"/>
      <c r="E345" s="8" t="n"/>
      <c r="F345" s="11" t="n"/>
      <c r="G345" s="14">
        <f>IF($F345="","",ROUND($F345/1.1,0))</f>
        <v/>
      </c>
      <c r="H345" s="14">
        <f>IF($F345="","",IF(기본설정!$C$9="일반과세자",$F345-$G345,0))</f>
        <v/>
      </c>
      <c r="I345" s="8" t="n"/>
      <c r="J345" s="8" t="n"/>
    </row>
    <row r="346">
      <c r="B346" s="13" t="n"/>
      <c r="C346" s="8" t="n"/>
      <c r="D346" s="8" t="n"/>
      <c r="E346" s="8" t="n"/>
      <c r="F346" s="11" t="n"/>
      <c r="G346" s="14">
        <f>IF($F346="","",ROUND($F346/1.1,0))</f>
        <v/>
      </c>
      <c r="H346" s="14">
        <f>IF($F346="","",IF(기본설정!$C$9="일반과세자",$F346-$G346,0))</f>
        <v/>
      </c>
      <c r="I346" s="8" t="n"/>
      <c r="J346" s="8" t="n"/>
    </row>
    <row r="347">
      <c r="B347" s="13" t="n"/>
      <c r="C347" s="8" t="n"/>
      <c r="D347" s="8" t="n"/>
      <c r="E347" s="8" t="n"/>
      <c r="F347" s="11" t="n"/>
      <c r="G347" s="14">
        <f>IF($F347="","",ROUND($F347/1.1,0))</f>
        <v/>
      </c>
      <c r="H347" s="14">
        <f>IF($F347="","",IF(기본설정!$C$9="일반과세자",$F347-$G347,0))</f>
        <v/>
      </c>
      <c r="I347" s="8" t="n"/>
      <c r="J347" s="8" t="n"/>
    </row>
    <row r="348">
      <c r="B348" s="13" t="n"/>
      <c r="C348" s="8" t="n"/>
      <c r="D348" s="8" t="n"/>
      <c r="E348" s="8" t="n"/>
      <c r="F348" s="11" t="n"/>
      <c r="G348" s="14">
        <f>IF($F348="","",ROUND($F348/1.1,0))</f>
        <v/>
      </c>
      <c r="H348" s="14">
        <f>IF($F348="","",IF(기본설정!$C$9="일반과세자",$F348-$G348,0))</f>
        <v/>
      </c>
      <c r="I348" s="8" t="n"/>
      <c r="J348" s="8" t="n"/>
    </row>
    <row r="349">
      <c r="B349" s="13" t="n"/>
      <c r="C349" s="8" t="n"/>
      <c r="D349" s="8" t="n"/>
      <c r="E349" s="8" t="n"/>
      <c r="F349" s="11" t="n"/>
      <c r="G349" s="14">
        <f>IF($F349="","",ROUND($F349/1.1,0))</f>
        <v/>
      </c>
      <c r="H349" s="14">
        <f>IF($F349="","",IF(기본설정!$C$9="일반과세자",$F349-$G349,0))</f>
        <v/>
      </c>
      <c r="I349" s="8" t="n"/>
      <c r="J349" s="8" t="n"/>
    </row>
    <row r="350">
      <c r="B350" s="13" t="n"/>
      <c r="C350" s="8" t="n"/>
      <c r="D350" s="8" t="n"/>
      <c r="E350" s="8" t="n"/>
      <c r="F350" s="11" t="n"/>
      <c r="G350" s="14">
        <f>IF($F350="","",ROUND($F350/1.1,0))</f>
        <v/>
      </c>
      <c r="H350" s="14">
        <f>IF($F350="","",IF(기본설정!$C$9="일반과세자",$F350-$G350,0))</f>
        <v/>
      </c>
      <c r="I350" s="8" t="n"/>
      <c r="J350" s="8" t="n"/>
    </row>
    <row r="351">
      <c r="B351" s="13" t="n"/>
      <c r="C351" s="8" t="n"/>
      <c r="D351" s="8" t="n"/>
      <c r="E351" s="8" t="n"/>
      <c r="F351" s="11" t="n"/>
      <c r="G351" s="14">
        <f>IF($F351="","",ROUND($F351/1.1,0))</f>
        <v/>
      </c>
      <c r="H351" s="14">
        <f>IF($F351="","",IF(기본설정!$C$9="일반과세자",$F351-$G351,0))</f>
        <v/>
      </c>
      <c r="I351" s="8" t="n"/>
      <c r="J351" s="8" t="n"/>
    </row>
    <row r="352">
      <c r="B352" s="13" t="n"/>
      <c r="C352" s="8" t="n"/>
      <c r="D352" s="8" t="n"/>
      <c r="E352" s="8" t="n"/>
      <c r="F352" s="11" t="n"/>
      <c r="G352" s="14">
        <f>IF($F352="","",ROUND($F352/1.1,0))</f>
        <v/>
      </c>
      <c r="H352" s="14">
        <f>IF($F352="","",IF(기본설정!$C$9="일반과세자",$F352-$G352,0))</f>
        <v/>
      </c>
      <c r="I352" s="8" t="n"/>
      <c r="J352" s="8" t="n"/>
    </row>
    <row r="353">
      <c r="B353" s="13" t="n"/>
      <c r="C353" s="8" t="n"/>
      <c r="D353" s="8" t="n"/>
      <c r="E353" s="8" t="n"/>
      <c r="F353" s="11" t="n"/>
      <c r="G353" s="14">
        <f>IF($F353="","",ROUND($F353/1.1,0))</f>
        <v/>
      </c>
      <c r="H353" s="14">
        <f>IF($F353="","",IF(기본설정!$C$9="일반과세자",$F353-$G353,0))</f>
        <v/>
      </c>
      <c r="I353" s="8" t="n"/>
      <c r="J353" s="8" t="n"/>
    </row>
    <row r="354">
      <c r="B354" s="13" t="n"/>
      <c r="C354" s="8" t="n"/>
      <c r="D354" s="8" t="n"/>
      <c r="E354" s="8" t="n"/>
      <c r="F354" s="11" t="n"/>
      <c r="G354" s="14">
        <f>IF($F354="","",ROUND($F354/1.1,0))</f>
        <v/>
      </c>
      <c r="H354" s="14">
        <f>IF($F354="","",IF(기본설정!$C$9="일반과세자",$F354-$G354,0))</f>
        <v/>
      </c>
      <c r="I354" s="8" t="n"/>
      <c r="J354" s="8" t="n"/>
    </row>
    <row r="355">
      <c r="B355" s="13" t="n"/>
      <c r="C355" s="8" t="n"/>
      <c r="D355" s="8" t="n"/>
      <c r="E355" s="8" t="n"/>
      <c r="F355" s="11" t="n"/>
      <c r="G355" s="14">
        <f>IF($F355="","",ROUND($F355/1.1,0))</f>
        <v/>
      </c>
      <c r="H355" s="14">
        <f>IF($F355="","",IF(기본설정!$C$9="일반과세자",$F355-$G355,0))</f>
        <v/>
      </c>
      <c r="I355" s="8" t="n"/>
      <c r="J355" s="8" t="n"/>
    </row>
    <row r="356">
      <c r="B356" s="13" t="n"/>
      <c r="C356" s="8" t="n"/>
      <c r="D356" s="8" t="n"/>
      <c r="E356" s="8" t="n"/>
      <c r="F356" s="11" t="n"/>
      <c r="G356" s="14">
        <f>IF($F356="","",ROUND($F356/1.1,0))</f>
        <v/>
      </c>
      <c r="H356" s="14">
        <f>IF($F356="","",IF(기본설정!$C$9="일반과세자",$F356-$G356,0))</f>
        <v/>
      </c>
      <c r="I356" s="8" t="n"/>
      <c r="J356" s="8" t="n"/>
    </row>
    <row r="357">
      <c r="B357" s="13" t="n"/>
      <c r="C357" s="8" t="n"/>
      <c r="D357" s="8" t="n"/>
      <c r="E357" s="8" t="n"/>
      <c r="F357" s="11" t="n"/>
      <c r="G357" s="14">
        <f>IF($F357="","",ROUND($F357/1.1,0))</f>
        <v/>
      </c>
      <c r="H357" s="14">
        <f>IF($F357="","",IF(기본설정!$C$9="일반과세자",$F357-$G357,0))</f>
        <v/>
      </c>
      <c r="I357" s="8" t="n"/>
      <c r="J357" s="8" t="n"/>
    </row>
    <row r="358">
      <c r="B358" s="13" t="n"/>
      <c r="C358" s="8" t="n"/>
      <c r="D358" s="8" t="n"/>
      <c r="E358" s="8" t="n"/>
      <c r="F358" s="11" t="n"/>
      <c r="G358" s="14">
        <f>IF($F358="","",ROUND($F358/1.1,0))</f>
        <v/>
      </c>
      <c r="H358" s="14">
        <f>IF($F358="","",IF(기본설정!$C$9="일반과세자",$F358-$G358,0))</f>
        <v/>
      </c>
      <c r="I358" s="8" t="n"/>
      <c r="J358" s="8" t="n"/>
    </row>
    <row r="359">
      <c r="B359" s="13" t="n"/>
      <c r="C359" s="8" t="n"/>
      <c r="D359" s="8" t="n"/>
      <c r="E359" s="8" t="n"/>
      <c r="F359" s="11" t="n"/>
      <c r="G359" s="14">
        <f>IF($F359="","",ROUND($F359/1.1,0))</f>
        <v/>
      </c>
      <c r="H359" s="14">
        <f>IF($F359="","",IF(기본설정!$C$9="일반과세자",$F359-$G359,0))</f>
        <v/>
      </c>
      <c r="I359" s="8" t="n"/>
      <c r="J359" s="8" t="n"/>
    </row>
    <row r="360">
      <c r="B360" s="13" t="n"/>
      <c r="C360" s="8" t="n"/>
      <c r="D360" s="8" t="n"/>
      <c r="E360" s="8" t="n"/>
      <c r="F360" s="11" t="n"/>
      <c r="G360" s="14">
        <f>IF($F360="","",ROUND($F360/1.1,0))</f>
        <v/>
      </c>
      <c r="H360" s="14">
        <f>IF($F360="","",IF(기본설정!$C$9="일반과세자",$F360-$G360,0))</f>
        <v/>
      </c>
      <c r="I360" s="8" t="n"/>
      <c r="J360" s="8" t="n"/>
    </row>
    <row r="361">
      <c r="B361" s="13" t="n"/>
      <c r="C361" s="8" t="n"/>
      <c r="D361" s="8" t="n"/>
      <c r="E361" s="8" t="n"/>
      <c r="F361" s="11" t="n"/>
      <c r="G361" s="14">
        <f>IF($F361="","",ROUND($F361/1.1,0))</f>
        <v/>
      </c>
      <c r="H361" s="14">
        <f>IF($F361="","",IF(기본설정!$C$9="일반과세자",$F361-$G361,0))</f>
        <v/>
      </c>
      <c r="I361" s="8" t="n"/>
      <c r="J361" s="8" t="n"/>
    </row>
    <row r="362">
      <c r="B362" s="13" t="n"/>
      <c r="C362" s="8" t="n"/>
      <c r="D362" s="8" t="n"/>
      <c r="E362" s="8" t="n"/>
      <c r="F362" s="11" t="n"/>
      <c r="G362" s="14">
        <f>IF($F362="","",ROUND($F362/1.1,0))</f>
        <v/>
      </c>
      <c r="H362" s="14">
        <f>IF($F362="","",IF(기본설정!$C$9="일반과세자",$F362-$G362,0))</f>
        <v/>
      </c>
      <c r="I362" s="8" t="n"/>
      <c r="J362" s="8" t="n"/>
    </row>
    <row r="363">
      <c r="B363" s="13" t="n"/>
      <c r="C363" s="8" t="n"/>
      <c r="D363" s="8" t="n"/>
      <c r="E363" s="8" t="n"/>
      <c r="F363" s="11" t="n"/>
      <c r="G363" s="14">
        <f>IF($F363="","",ROUND($F363/1.1,0))</f>
        <v/>
      </c>
      <c r="H363" s="14">
        <f>IF($F363="","",IF(기본설정!$C$9="일반과세자",$F363-$G363,0))</f>
        <v/>
      </c>
      <c r="I363" s="8" t="n"/>
      <c r="J363" s="8" t="n"/>
    </row>
    <row r="364">
      <c r="B364" s="13" t="n"/>
      <c r="C364" s="8" t="n"/>
      <c r="D364" s="8" t="n"/>
      <c r="E364" s="8" t="n"/>
      <c r="F364" s="11" t="n"/>
      <c r="G364" s="14">
        <f>IF($F364="","",ROUND($F364/1.1,0))</f>
        <v/>
      </c>
      <c r="H364" s="14">
        <f>IF($F364="","",IF(기본설정!$C$9="일반과세자",$F364-$G364,0))</f>
        <v/>
      </c>
      <c r="I364" s="8" t="n"/>
      <c r="J364" s="8" t="n"/>
    </row>
    <row r="365">
      <c r="B365" s="13" t="n"/>
      <c r="C365" s="8" t="n"/>
      <c r="D365" s="8" t="n"/>
      <c r="E365" s="8" t="n"/>
      <c r="F365" s="11" t="n"/>
      <c r="G365" s="14">
        <f>IF($F365="","",ROUND($F365/1.1,0))</f>
        <v/>
      </c>
      <c r="H365" s="14">
        <f>IF($F365="","",IF(기본설정!$C$9="일반과세자",$F365-$G365,0))</f>
        <v/>
      </c>
      <c r="I365" s="8" t="n"/>
      <c r="J365" s="8" t="n"/>
    </row>
    <row r="366">
      <c r="B366" s="13" t="n"/>
      <c r="C366" s="8" t="n"/>
      <c r="D366" s="8" t="n"/>
      <c r="E366" s="8" t="n"/>
      <c r="F366" s="11" t="n"/>
      <c r="G366" s="14">
        <f>IF($F366="","",ROUND($F366/1.1,0))</f>
        <v/>
      </c>
      <c r="H366" s="14">
        <f>IF($F366="","",IF(기본설정!$C$9="일반과세자",$F366-$G366,0))</f>
        <v/>
      </c>
      <c r="I366" s="8" t="n"/>
      <c r="J366" s="8" t="n"/>
    </row>
    <row r="367">
      <c r="B367" s="13" t="n"/>
      <c r="C367" s="8" t="n"/>
      <c r="D367" s="8" t="n"/>
      <c r="E367" s="8" t="n"/>
      <c r="F367" s="11" t="n"/>
      <c r="G367" s="14">
        <f>IF($F367="","",ROUND($F367/1.1,0))</f>
        <v/>
      </c>
      <c r="H367" s="14">
        <f>IF($F367="","",IF(기본설정!$C$9="일반과세자",$F367-$G367,0))</f>
        <v/>
      </c>
      <c r="I367" s="8" t="n"/>
      <c r="J367" s="8" t="n"/>
    </row>
    <row r="368">
      <c r="B368" s="13" t="n"/>
      <c r="C368" s="8" t="n"/>
      <c r="D368" s="8" t="n"/>
      <c r="E368" s="8" t="n"/>
      <c r="F368" s="11" t="n"/>
      <c r="G368" s="14">
        <f>IF($F368="","",ROUND($F368/1.1,0))</f>
        <v/>
      </c>
      <c r="H368" s="14">
        <f>IF($F368="","",IF(기본설정!$C$9="일반과세자",$F368-$G368,0))</f>
        <v/>
      </c>
      <c r="I368" s="8" t="n"/>
      <c r="J368" s="8" t="n"/>
    </row>
    <row r="369">
      <c r="B369" s="13" t="n"/>
      <c r="C369" s="8" t="n"/>
      <c r="D369" s="8" t="n"/>
      <c r="E369" s="8" t="n"/>
      <c r="F369" s="11" t="n"/>
      <c r="G369" s="14">
        <f>IF($F369="","",ROUND($F369/1.1,0))</f>
        <v/>
      </c>
      <c r="H369" s="14">
        <f>IF($F369="","",IF(기본설정!$C$9="일반과세자",$F369-$G369,0))</f>
        <v/>
      </c>
      <c r="I369" s="8" t="n"/>
      <c r="J369" s="8" t="n"/>
    </row>
    <row r="370">
      <c r="B370" s="13" t="n"/>
      <c r="C370" s="8" t="n"/>
      <c r="D370" s="8" t="n"/>
      <c r="E370" s="8" t="n"/>
      <c r="F370" s="11" t="n"/>
      <c r="G370" s="14">
        <f>IF($F370="","",ROUND($F370/1.1,0))</f>
        <v/>
      </c>
      <c r="H370" s="14">
        <f>IF($F370="","",IF(기본설정!$C$9="일반과세자",$F370-$G370,0))</f>
        <v/>
      </c>
      <c r="I370" s="8" t="n"/>
      <c r="J370" s="8" t="n"/>
    </row>
    <row r="371">
      <c r="B371" s="13" t="n"/>
      <c r="C371" s="8" t="n"/>
      <c r="D371" s="8" t="n"/>
      <c r="E371" s="8" t="n"/>
      <c r="F371" s="11" t="n"/>
      <c r="G371" s="14">
        <f>IF($F371="","",ROUND($F371/1.1,0))</f>
        <v/>
      </c>
      <c r="H371" s="14">
        <f>IF($F371="","",IF(기본설정!$C$9="일반과세자",$F371-$G371,0))</f>
        <v/>
      </c>
      <c r="I371" s="8" t="n"/>
      <c r="J371" s="8" t="n"/>
    </row>
    <row r="372">
      <c r="B372" s="13" t="n"/>
      <c r="C372" s="8" t="n"/>
      <c r="D372" s="8" t="n"/>
      <c r="E372" s="8" t="n"/>
      <c r="F372" s="11" t="n"/>
      <c r="G372" s="14">
        <f>IF($F372="","",ROUND($F372/1.1,0))</f>
        <v/>
      </c>
      <c r="H372" s="14">
        <f>IF($F372="","",IF(기본설정!$C$9="일반과세자",$F372-$G372,0))</f>
        <v/>
      </c>
      <c r="I372" s="8" t="n"/>
      <c r="J372" s="8" t="n"/>
    </row>
    <row r="373">
      <c r="B373" s="13" t="n"/>
      <c r="C373" s="8" t="n"/>
      <c r="D373" s="8" t="n"/>
      <c r="E373" s="8" t="n"/>
      <c r="F373" s="11" t="n"/>
      <c r="G373" s="14">
        <f>IF($F373="","",ROUND($F373/1.1,0))</f>
        <v/>
      </c>
      <c r="H373" s="14">
        <f>IF($F373="","",IF(기본설정!$C$9="일반과세자",$F373-$G373,0))</f>
        <v/>
      </c>
      <c r="I373" s="8" t="n"/>
      <c r="J373" s="8" t="n"/>
    </row>
    <row r="374">
      <c r="B374" s="13" t="n"/>
      <c r="C374" s="8" t="n"/>
      <c r="D374" s="8" t="n"/>
      <c r="E374" s="8" t="n"/>
      <c r="F374" s="11" t="n"/>
      <c r="G374" s="14">
        <f>IF($F374="","",ROUND($F374/1.1,0))</f>
        <v/>
      </c>
      <c r="H374" s="14">
        <f>IF($F374="","",IF(기본설정!$C$9="일반과세자",$F374-$G374,0))</f>
        <v/>
      </c>
      <c r="I374" s="8" t="n"/>
      <c r="J374" s="8" t="n"/>
    </row>
    <row r="375">
      <c r="B375" s="13" t="n"/>
      <c r="C375" s="8" t="n"/>
      <c r="D375" s="8" t="n"/>
      <c r="E375" s="8" t="n"/>
      <c r="F375" s="11" t="n"/>
      <c r="G375" s="14">
        <f>IF($F375="","",ROUND($F375/1.1,0))</f>
        <v/>
      </c>
      <c r="H375" s="14">
        <f>IF($F375="","",IF(기본설정!$C$9="일반과세자",$F375-$G375,0))</f>
        <v/>
      </c>
      <c r="I375" s="8" t="n"/>
      <c r="J375" s="8" t="n"/>
    </row>
    <row r="376">
      <c r="B376" s="13" t="n"/>
      <c r="C376" s="8" t="n"/>
      <c r="D376" s="8" t="n"/>
      <c r="E376" s="8" t="n"/>
      <c r="F376" s="11" t="n"/>
      <c r="G376" s="14">
        <f>IF($F376="","",ROUND($F376/1.1,0))</f>
        <v/>
      </c>
      <c r="H376" s="14">
        <f>IF($F376="","",IF(기본설정!$C$9="일반과세자",$F376-$G376,0))</f>
        <v/>
      </c>
      <c r="I376" s="8" t="n"/>
      <c r="J376" s="8" t="n"/>
    </row>
    <row r="377">
      <c r="B377" s="13" t="n"/>
      <c r="C377" s="8" t="n"/>
      <c r="D377" s="8" t="n"/>
      <c r="E377" s="8" t="n"/>
      <c r="F377" s="11" t="n"/>
      <c r="G377" s="14">
        <f>IF($F377="","",ROUND($F377/1.1,0))</f>
        <v/>
      </c>
      <c r="H377" s="14">
        <f>IF($F377="","",IF(기본설정!$C$9="일반과세자",$F377-$G377,0))</f>
        <v/>
      </c>
      <c r="I377" s="8" t="n"/>
      <c r="J377" s="8" t="n"/>
    </row>
    <row r="378">
      <c r="B378" s="13" t="n"/>
      <c r="C378" s="8" t="n"/>
      <c r="D378" s="8" t="n"/>
      <c r="E378" s="8" t="n"/>
      <c r="F378" s="11" t="n"/>
      <c r="G378" s="14">
        <f>IF($F378="","",ROUND($F378/1.1,0))</f>
        <v/>
      </c>
      <c r="H378" s="14">
        <f>IF($F378="","",IF(기본설정!$C$9="일반과세자",$F378-$G378,0))</f>
        <v/>
      </c>
      <c r="I378" s="8" t="n"/>
      <c r="J378" s="8" t="n"/>
    </row>
    <row r="379">
      <c r="B379" s="13" t="n"/>
      <c r="C379" s="8" t="n"/>
      <c r="D379" s="8" t="n"/>
      <c r="E379" s="8" t="n"/>
      <c r="F379" s="11" t="n"/>
      <c r="G379" s="14">
        <f>IF($F379="","",ROUND($F379/1.1,0))</f>
        <v/>
      </c>
      <c r="H379" s="14">
        <f>IF($F379="","",IF(기본설정!$C$9="일반과세자",$F379-$G379,0))</f>
        <v/>
      </c>
      <c r="I379" s="8" t="n"/>
      <c r="J379" s="8" t="n"/>
    </row>
    <row r="380">
      <c r="B380" s="13" t="n"/>
      <c r="C380" s="8" t="n"/>
      <c r="D380" s="8" t="n"/>
      <c r="E380" s="8" t="n"/>
      <c r="F380" s="11" t="n"/>
      <c r="G380" s="14">
        <f>IF($F380="","",ROUND($F380/1.1,0))</f>
        <v/>
      </c>
      <c r="H380" s="14">
        <f>IF($F380="","",IF(기본설정!$C$9="일반과세자",$F380-$G380,0))</f>
        <v/>
      </c>
      <c r="I380" s="8" t="n"/>
      <c r="J380" s="8" t="n"/>
    </row>
    <row r="381">
      <c r="B381" s="13" t="n"/>
      <c r="C381" s="8" t="n"/>
      <c r="D381" s="8" t="n"/>
      <c r="E381" s="8" t="n"/>
      <c r="F381" s="11" t="n"/>
      <c r="G381" s="14">
        <f>IF($F381="","",ROUND($F381/1.1,0))</f>
        <v/>
      </c>
      <c r="H381" s="14">
        <f>IF($F381="","",IF(기본설정!$C$9="일반과세자",$F381-$G381,0))</f>
        <v/>
      </c>
      <c r="I381" s="8" t="n"/>
      <c r="J381" s="8" t="n"/>
    </row>
    <row r="382">
      <c r="B382" s="13" t="n"/>
      <c r="C382" s="8" t="n"/>
      <c r="D382" s="8" t="n"/>
      <c r="E382" s="8" t="n"/>
      <c r="F382" s="11" t="n"/>
      <c r="G382" s="14">
        <f>IF($F382="","",ROUND($F382/1.1,0))</f>
        <v/>
      </c>
      <c r="H382" s="14">
        <f>IF($F382="","",IF(기본설정!$C$9="일반과세자",$F382-$G382,0))</f>
        <v/>
      </c>
      <c r="I382" s="8" t="n"/>
      <c r="J382" s="8" t="n"/>
    </row>
    <row r="383">
      <c r="B383" s="13" t="n"/>
      <c r="C383" s="8" t="n"/>
      <c r="D383" s="8" t="n"/>
      <c r="E383" s="8" t="n"/>
      <c r="F383" s="11" t="n"/>
      <c r="G383" s="14">
        <f>IF($F383="","",ROUND($F383/1.1,0))</f>
        <v/>
      </c>
      <c r="H383" s="14">
        <f>IF($F383="","",IF(기본설정!$C$9="일반과세자",$F383-$G383,0))</f>
        <v/>
      </c>
      <c r="I383" s="8" t="n"/>
      <c r="J383" s="8" t="n"/>
    </row>
    <row r="384">
      <c r="B384" s="13" t="n"/>
      <c r="C384" s="8" t="n"/>
      <c r="D384" s="8" t="n"/>
      <c r="E384" s="8" t="n"/>
      <c r="F384" s="11" t="n"/>
      <c r="G384" s="14">
        <f>IF($F384="","",ROUND($F384/1.1,0))</f>
        <v/>
      </c>
      <c r="H384" s="14">
        <f>IF($F384="","",IF(기본설정!$C$9="일반과세자",$F384-$G384,0))</f>
        <v/>
      </c>
      <c r="I384" s="8" t="n"/>
      <c r="J384" s="8" t="n"/>
    </row>
    <row r="385">
      <c r="B385" s="13" t="n"/>
      <c r="C385" s="8" t="n"/>
      <c r="D385" s="8" t="n"/>
      <c r="E385" s="8" t="n"/>
      <c r="F385" s="11" t="n"/>
      <c r="G385" s="14">
        <f>IF($F385="","",ROUND($F385/1.1,0))</f>
        <v/>
      </c>
      <c r="H385" s="14">
        <f>IF($F385="","",IF(기본설정!$C$9="일반과세자",$F385-$G385,0))</f>
        <v/>
      </c>
      <c r="I385" s="8" t="n"/>
      <c r="J385" s="8" t="n"/>
    </row>
    <row r="386">
      <c r="B386" s="13" t="n"/>
      <c r="C386" s="8" t="n"/>
      <c r="D386" s="8" t="n"/>
      <c r="E386" s="8" t="n"/>
      <c r="F386" s="11" t="n"/>
      <c r="G386" s="14">
        <f>IF($F386="","",ROUND($F386/1.1,0))</f>
        <v/>
      </c>
      <c r="H386" s="14">
        <f>IF($F386="","",IF(기본설정!$C$9="일반과세자",$F386-$G386,0))</f>
        <v/>
      </c>
      <c r="I386" s="8" t="n"/>
      <c r="J386" s="8" t="n"/>
    </row>
    <row r="387">
      <c r="B387" s="13" t="n"/>
      <c r="C387" s="8" t="n"/>
      <c r="D387" s="8" t="n"/>
      <c r="E387" s="8" t="n"/>
      <c r="F387" s="11" t="n"/>
      <c r="G387" s="14">
        <f>IF($F387="","",ROUND($F387/1.1,0))</f>
        <v/>
      </c>
      <c r="H387" s="14">
        <f>IF($F387="","",IF(기본설정!$C$9="일반과세자",$F387-$G387,0))</f>
        <v/>
      </c>
      <c r="I387" s="8" t="n"/>
      <c r="J387" s="8" t="n"/>
    </row>
    <row r="388">
      <c r="B388" s="13" t="n"/>
      <c r="C388" s="8" t="n"/>
      <c r="D388" s="8" t="n"/>
      <c r="E388" s="8" t="n"/>
      <c r="F388" s="11" t="n"/>
      <c r="G388" s="14">
        <f>IF($F388="","",ROUND($F388/1.1,0))</f>
        <v/>
      </c>
      <c r="H388" s="14">
        <f>IF($F388="","",IF(기본설정!$C$9="일반과세자",$F388-$G388,0))</f>
        <v/>
      </c>
      <c r="I388" s="8" t="n"/>
      <c r="J388" s="8" t="n"/>
    </row>
    <row r="389">
      <c r="B389" s="13" t="n"/>
      <c r="C389" s="8" t="n"/>
      <c r="D389" s="8" t="n"/>
      <c r="E389" s="8" t="n"/>
      <c r="F389" s="11" t="n"/>
      <c r="G389" s="14">
        <f>IF($F389="","",ROUND($F389/1.1,0))</f>
        <v/>
      </c>
      <c r="H389" s="14">
        <f>IF($F389="","",IF(기본설정!$C$9="일반과세자",$F389-$G389,0))</f>
        <v/>
      </c>
      <c r="I389" s="8" t="n"/>
      <c r="J389" s="8" t="n"/>
    </row>
    <row r="390">
      <c r="B390" s="13" t="n"/>
      <c r="C390" s="8" t="n"/>
      <c r="D390" s="8" t="n"/>
      <c r="E390" s="8" t="n"/>
      <c r="F390" s="11" t="n"/>
      <c r="G390" s="14">
        <f>IF($F390="","",ROUND($F390/1.1,0))</f>
        <v/>
      </c>
      <c r="H390" s="14">
        <f>IF($F390="","",IF(기본설정!$C$9="일반과세자",$F390-$G390,0))</f>
        <v/>
      </c>
      <c r="I390" s="8" t="n"/>
      <c r="J390" s="8" t="n"/>
    </row>
    <row r="391">
      <c r="B391" s="13" t="n"/>
      <c r="C391" s="8" t="n"/>
      <c r="D391" s="8" t="n"/>
      <c r="E391" s="8" t="n"/>
      <c r="F391" s="11" t="n"/>
      <c r="G391" s="14">
        <f>IF($F391="","",ROUND($F391/1.1,0))</f>
        <v/>
      </c>
      <c r="H391" s="14">
        <f>IF($F391="","",IF(기본설정!$C$9="일반과세자",$F391-$G391,0))</f>
        <v/>
      </c>
      <c r="I391" s="8" t="n"/>
      <c r="J391" s="8" t="n"/>
    </row>
    <row r="392">
      <c r="B392" s="13" t="n"/>
      <c r="C392" s="8" t="n"/>
      <c r="D392" s="8" t="n"/>
      <c r="E392" s="8" t="n"/>
      <c r="F392" s="11" t="n"/>
      <c r="G392" s="14">
        <f>IF($F392="","",ROUND($F392/1.1,0))</f>
        <v/>
      </c>
      <c r="H392" s="14">
        <f>IF($F392="","",IF(기본설정!$C$9="일반과세자",$F392-$G392,0))</f>
        <v/>
      </c>
      <c r="I392" s="8" t="n"/>
      <c r="J392" s="8" t="n"/>
    </row>
    <row r="393">
      <c r="B393" s="13" t="n"/>
      <c r="C393" s="8" t="n"/>
      <c r="D393" s="8" t="n"/>
      <c r="E393" s="8" t="n"/>
      <c r="F393" s="11" t="n"/>
      <c r="G393" s="14">
        <f>IF($F393="","",ROUND($F393/1.1,0))</f>
        <v/>
      </c>
      <c r="H393" s="14">
        <f>IF($F393="","",IF(기본설정!$C$9="일반과세자",$F393-$G393,0))</f>
        <v/>
      </c>
      <c r="I393" s="8" t="n"/>
      <c r="J393" s="8" t="n"/>
    </row>
    <row r="394">
      <c r="B394" s="13" t="n"/>
      <c r="C394" s="8" t="n"/>
      <c r="D394" s="8" t="n"/>
      <c r="E394" s="8" t="n"/>
      <c r="F394" s="11" t="n"/>
      <c r="G394" s="14">
        <f>IF($F394="","",ROUND($F394/1.1,0))</f>
        <v/>
      </c>
      <c r="H394" s="14">
        <f>IF($F394="","",IF(기본설정!$C$9="일반과세자",$F394-$G394,0))</f>
        <v/>
      </c>
      <c r="I394" s="8" t="n"/>
      <c r="J394" s="8" t="n"/>
    </row>
    <row r="395">
      <c r="B395" s="13" t="n"/>
      <c r="C395" s="8" t="n"/>
      <c r="D395" s="8" t="n"/>
      <c r="E395" s="8" t="n"/>
      <c r="F395" s="11" t="n"/>
      <c r="G395" s="14">
        <f>IF($F395="","",ROUND($F395/1.1,0))</f>
        <v/>
      </c>
      <c r="H395" s="14">
        <f>IF($F395="","",IF(기본설정!$C$9="일반과세자",$F395-$G395,0))</f>
        <v/>
      </c>
      <c r="I395" s="8" t="n"/>
      <c r="J395" s="8" t="n"/>
    </row>
    <row r="396">
      <c r="B396" s="13" t="n"/>
      <c r="C396" s="8" t="n"/>
      <c r="D396" s="8" t="n"/>
      <c r="E396" s="8" t="n"/>
      <c r="F396" s="11" t="n"/>
      <c r="G396" s="14">
        <f>IF($F396="","",ROUND($F396/1.1,0))</f>
        <v/>
      </c>
      <c r="H396" s="14">
        <f>IF($F396="","",IF(기본설정!$C$9="일반과세자",$F396-$G396,0))</f>
        <v/>
      </c>
      <c r="I396" s="8" t="n"/>
      <c r="J396" s="8" t="n"/>
    </row>
    <row r="397">
      <c r="B397" s="13" t="n"/>
      <c r="C397" s="8" t="n"/>
      <c r="D397" s="8" t="n"/>
      <c r="E397" s="8" t="n"/>
      <c r="F397" s="11" t="n"/>
      <c r="G397" s="14">
        <f>IF($F397="","",ROUND($F397/1.1,0))</f>
        <v/>
      </c>
      <c r="H397" s="14">
        <f>IF($F397="","",IF(기본설정!$C$9="일반과세자",$F397-$G397,0))</f>
        <v/>
      </c>
      <c r="I397" s="8" t="n"/>
      <c r="J397" s="8" t="n"/>
    </row>
    <row r="398">
      <c r="B398" s="13" t="n"/>
      <c r="C398" s="8" t="n"/>
      <c r="D398" s="8" t="n"/>
      <c r="E398" s="8" t="n"/>
      <c r="F398" s="11" t="n"/>
      <c r="G398" s="14">
        <f>IF($F398="","",ROUND($F398/1.1,0))</f>
        <v/>
      </c>
      <c r="H398" s="14">
        <f>IF($F398="","",IF(기본설정!$C$9="일반과세자",$F398-$G398,0))</f>
        <v/>
      </c>
      <c r="I398" s="8" t="n"/>
      <c r="J398" s="8" t="n"/>
    </row>
    <row r="399">
      <c r="B399" s="13" t="n"/>
      <c r="C399" s="8" t="n"/>
      <c r="D399" s="8" t="n"/>
      <c r="E399" s="8" t="n"/>
      <c r="F399" s="11" t="n"/>
      <c r="G399" s="14">
        <f>IF($F399="","",ROUND($F399/1.1,0))</f>
        <v/>
      </c>
      <c r="H399" s="14">
        <f>IF($F399="","",IF(기본설정!$C$9="일반과세자",$F399-$G399,0))</f>
        <v/>
      </c>
      <c r="I399" s="8" t="n"/>
      <c r="J399" s="8" t="n"/>
    </row>
    <row r="400">
      <c r="B400" s="13" t="n"/>
      <c r="C400" s="8" t="n"/>
      <c r="D400" s="8" t="n"/>
      <c r="E400" s="8" t="n"/>
      <c r="F400" s="11" t="n"/>
      <c r="G400" s="14">
        <f>IF($F400="","",ROUND($F400/1.1,0))</f>
        <v/>
      </c>
      <c r="H400" s="14">
        <f>IF($F400="","",IF(기본설정!$C$9="일반과세자",$F400-$G400,0))</f>
        <v/>
      </c>
      <c r="I400" s="8" t="n"/>
      <c r="J400" s="8" t="n"/>
    </row>
    <row r="401">
      <c r="B401" s="13" t="n"/>
      <c r="C401" s="8" t="n"/>
      <c r="D401" s="8" t="n"/>
      <c r="E401" s="8" t="n"/>
      <c r="F401" s="11" t="n"/>
      <c r="G401" s="14">
        <f>IF($F401="","",ROUND($F401/1.1,0))</f>
        <v/>
      </c>
      <c r="H401" s="14">
        <f>IF($F401="","",IF(기본설정!$C$9="일반과세자",$F401-$G401,0))</f>
        <v/>
      </c>
      <c r="I401" s="8" t="n"/>
      <c r="J401" s="8" t="n"/>
    </row>
    <row r="402">
      <c r="B402" s="13" t="n"/>
      <c r="C402" s="8" t="n"/>
      <c r="D402" s="8" t="n"/>
      <c r="E402" s="8" t="n"/>
      <c r="F402" s="11" t="n"/>
      <c r="G402" s="14">
        <f>IF($F402="","",ROUND($F402/1.1,0))</f>
        <v/>
      </c>
      <c r="H402" s="14">
        <f>IF($F402="","",IF(기본설정!$C$9="일반과세자",$F402-$G402,0))</f>
        <v/>
      </c>
      <c r="I402" s="8" t="n"/>
      <c r="J402" s="8" t="n"/>
    </row>
    <row r="403">
      <c r="B403" s="13" t="n"/>
      <c r="C403" s="8" t="n"/>
      <c r="D403" s="8" t="n"/>
      <c r="E403" s="8" t="n"/>
      <c r="F403" s="11" t="n"/>
      <c r="G403" s="14">
        <f>IF($F403="","",ROUND($F403/1.1,0))</f>
        <v/>
      </c>
      <c r="H403" s="14">
        <f>IF($F403="","",IF(기본설정!$C$9="일반과세자",$F403-$G403,0))</f>
        <v/>
      </c>
      <c r="I403" s="8" t="n"/>
      <c r="J403" s="8" t="n"/>
    </row>
    <row r="404">
      <c r="B404" s="13" t="n"/>
      <c r="C404" s="8" t="n"/>
      <c r="D404" s="8" t="n"/>
      <c r="E404" s="8" t="n"/>
      <c r="F404" s="11" t="n"/>
      <c r="G404" s="14">
        <f>IF($F404="","",ROUND($F404/1.1,0))</f>
        <v/>
      </c>
      <c r="H404" s="14">
        <f>IF($F404="","",IF(기본설정!$C$9="일반과세자",$F404-$G404,0))</f>
        <v/>
      </c>
      <c r="I404" s="8" t="n"/>
      <c r="J404" s="8" t="n"/>
    </row>
    <row r="405">
      <c r="B405" s="13" t="n"/>
      <c r="C405" s="8" t="n"/>
      <c r="D405" s="8" t="n"/>
      <c r="E405" s="8" t="n"/>
      <c r="F405" s="11" t="n"/>
      <c r="G405" s="14">
        <f>IF($F405="","",ROUND($F405/1.1,0))</f>
        <v/>
      </c>
      <c r="H405" s="14">
        <f>IF($F405="","",IF(기본설정!$C$9="일반과세자",$F405-$G405,0))</f>
        <v/>
      </c>
      <c r="I405" s="8" t="n"/>
      <c r="J405" s="8" t="n"/>
    </row>
    <row r="406">
      <c r="B406" s="13" t="n"/>
      <c r="C406" s="8" t="n"/>
      <c r="D406" s="8" t="n"/>
      <c r="E406" s="8" t="n"/>
      <c r="F406" s="11" t="n"/>
      <c r="G406" s="14">
        <f>IF($F406="","",ROUND($F406/1.1,0))</f>
        <v/>
      </c>
      <c r="H406" s="14">
        <f>IF($F406="","",IF(기본설정!$C$9="일반과세자",$F406-$G406,0))</f>
        <v/>
      </c>
      <c r="I406" s="8" t="n"/>
      <c r="J406" s="8" t="n"/>
    </row>
    <row r="407">
      <c r="B407" s="13" t="n"/>
      <c r="C407" s="8" t="n"/>
      <c r="D407" s="8" t="n"/>
      <c r="E407" s="8" t="n"/>
      <c r="F407" s="11" t="n"/>
      <c r="G407" s="14">
        <f>IF($F407="","",ROUND($F407/1.1,0))</f>
        <v/>
      </c>
      <c r="H407" s="14">
        <f>IF($F407="","",IF(기본설정!$C$9="일반과세자",$F407-$G407,0))</f>
        <v/>
      </c>
      <c r="I407" s="8" t="n"/>
      <c r="J407" s="8" t="n"/>
    </row>
    <row r="408">
      <c r="B408" s="13" t="n"/>
      <c r="C408" s="8" t="n"/>
      <c r="D408" s="8" t="n"/>
      <c r="E408" s="8" t="n"/>
      <c r="F408" s="11" t="n"/>
      <c r="G408" s="14">
        <f>IF($F408="","",ROUND($F408/1.1,0))</f>
        <v/>
      </c>
      <c r="H408" s="14">
        <f>IF($F408="","",IF(기본설정!$C$9="일반과세자",$F408-$G408,0))</f>
        <v/>
      </c>
      <c r="I408" s="8" t="n"/>
      <c r="J408" s="8" t="n"/>
    </row>
    <row r="409">
      <c r="B409" s="13" t="n"/>
      <c r="C409" s="8" t="n"/>
      <c r="D409" s="8" t="n"/>
      <c r="E409" s="8" t="n"/>
      <c r="F409" s="11" t="n"/>
      <c r="G409" s="14">
        <f>IF($F409="","",ROUND($F409/1.1,0))</f>
        <v/>
      </c>
      <c r="H409" s="14">
        <f>IF($F409="","",IF(기본설정!$C$9="일반과세자",$F409-$G409,0))</f>
        <v/>
      </c>
      <c r="I409" s="8" t="n"/>
      <c r="J409" s="8" t="n"/>
    </row>
    <row r="410">
      <c r="B410" s="13" t="n"/>
      <c r="C410" s="8" t="n"/>
      <c r="D410" s="8" t="n"/>
      <c r="E410" s="8" t="n"/>
      <c r="F410" s="11" t="n"/>
      <c r="G410" s="14">
        <f>IF($F410="","",ROUND($F410/1.1,0))</f>
        <v/>
      </c>
      <c r="H410" s="14">
        <f>IF($F410="","",IF(기본설정!$C$9="일반과세자",$F410-$G410,0))</f>
        <v/>
      </c>
      <c r="I410" s="8" t="n"/>
      <c r="J410" s="8" t="n"/>
    </row>
    <row r="411">
      <c r="B411" s="13" t="n"/>
      <c r="C411" s="8" t="n"/>
      <c r="D411" s="8" t="n"/>
      <c r="E411" s="8" t="n"/>
      <c r="F411" s="11" t="n"/>
      <c r="G411" s="14">
        <f>IF($F411="","",ROUND($F411/1.1,0))</f>
        <v/>
      </c>
      <c r="H411" s="14">
        <f>IF($F411="","",IF(기본설정!$C$9="일반과세자",$F411-$G411,0))</f>
        <v/>
      </c>
      <c r="I411" s="8" t="n"/>
      <c r="J411" s="8" t="n"/>
    </row>
    <row r="412">
      <c r="B412" s="13" t="n"/>
      <c r="C412" s="8" t="n"/>
      <c r="D412" s="8" t="n"/>
      <c r="E412" s="8" t="n"/>
      <c r="F412" s="11" t="n"/>
      <c r="G412" s="14">
        <f>IF($F412="","",ROUND($F412/1.1,0))</f>
        <v/>
      </c>
      <c r="H412" s="14">
        <f>IF($F412="","",IF(기본설정!$C$9="일반과세자",$F412-$G412,0))</f>
        <v/>
      </c>
      <c r="I412" s="8" t="n"/>
      <c r="J412" s="8" t="n"/>
    </row>
    <row r="413">
      <c r="B413" s="13" t="n"/>
      <c r="C413" s="8" t="n"/>
      <c r="D413" s="8" t="n"/>
      <c r="E413" s="8" t="n"/>
      <c r="F413" s="11" t="n"/>
      <c r="G413" s="14">
        <f>IF($F413="","",ROUND($F413/1.1,0))</f>
        <v/>
      </c>
      <c r="H413" s="14">
        <f>IF($F413="","",IF(기본설정!$C$9="일반과세자",$F413-$G413,0))</f>
        <v/>
      </c>
      <c r="I413" s="8" t="n"/>
      <c r="J413" s="8" t="n"/>
    </row>
    <row r="414">
      <c r="B414" s="13" t="n"/>
      <c r="C414" s="8" t="n"/>
      <c r="D414" s="8" t="n"/>
      <c r="E414" s="8" t="n"/>
      <c r="F414" s="11" t="n"/>
      <c r="G414" s="14">
        <f>IF($F414="","",ROUND($F414/1.1,0))</f>
        <v/>
      </c>
      <c r="H414" s="14">
        <f>IF($F414="","",IF(기본설정!$C$9="일반과세자",$F414-$G414,0))</f>
        <v/>
      </c>
      <c r="I414" s="8" t="n"/>
      <c r="J414" s="8" t="n"/>
    </row>
    <row r="415">
      <c r="B415" s="13" t="n"/>
      <c r="C415" s="8" t="n"/>
      <c r="D415" s="8" t="n"/>
      <c r="E415" s="8" t="n"/>
      <c r="F415" s="11" t="n"/>
      <c r="G415" s="14">
        <f>IF($F415="","",ROUND($F415/1.1,0))</f>
        <v/>
      </c>
      <c r="H415" s="14">
        <f>IF($F415="","",IF(기본설정!$C$9="일반과세자",$F415-$G415,0))</f>
        <v/>
      </c>
      <c r="I415" s="8" t="n"/>
      <c r="J415" s="8" t="n"/>
    </row>
    <row r="416">
      <c r="B416" s="13" t="n"/>
      <c r="C416" s="8" t="n"/>
      <c r="D416" s="8" t="n"/>
      <c r="E416" s="8" t="n"/>
      <c r="F416" s="11" t="n"/>
      <c r="G416" s="14">
        <f>IF($F416="","",ROUND($F416/1.1,0))</f>
        <v/>
      </c>
      <c r="H416" s="14">
        <f>IF($F416="","",IF(기본설정!$C$9="일반과세자",$F416-$G416,0))</f>
        <v/>
      </c>
      <c r="I416" s="8" t="n"/>
      <c r="J416" s="8" t="n"/>
    </row>
    <row r="417">
      <c r="B417" s="13" t="n"/>
      <c r="C417" s="8" t="n"/>
      <c r="D417" s="8" t="n"/>
      <c r="E417" s="8" t="n"/>
      <c r="F417" s="11" t="n"/>
      <c r="G417" s="14">
        <f>IF($F417="","",ROUND($F417/1.1,0))</f>
        <v/>
      </c>
      <c r="H417" s="14">
        <f>IF($F417="","",IF(기본설정!$C$9="일반과세자",$F417-$G417,0))</f>
        <v/>
      </c>
      <c r="I417" s="8" t="n"/>
      <c r="J417" s="8" t="n"/>
    </row>
    <row r="418">
      <c r="B418" s="13" t="n"/>
      <c r="C418" s="8" t="n"/>
      <c r="D418" s="8" t="n"/>
      <c r="E418" s="8" t="n"/>
      <c r="F418" s="11" t="n"/>
      <c r="G418" s="14">
        <f>IF($F418="","",ROUND($F418/1.1,0))</f>
        <v/>
      </c>
      <c r="H418" s="14">
        <f>IF($F418="","",IF(기본설정!$C$9="일반과세자",$F418-$G418,0))</f>
        <v/>
      </c>
      <c r="I418" s="8" t="n"/>
      <c r="J418" s="8" t="n"/>
    </row>
    <row r="419">
      <c r="B419" s="13" t="n"/>
      <c r="C419" s="8" t="n"/>
      <c r="D419" s="8" t="n"/>
      <c r="E419" s="8" t="n"/>
      <c r="F419" s="11" t="n"/>
      <c r="G419" s="14">
        <f>IF($F419="","",ROUND($F419/1.1,0))</f>
        <v/>
      </c>
      <c r="H419" s="14">
        <f>IF($F419="","",IF(기본설정!$C$9="일반과세자",$F419-$G419,0))</f>
        <v/>
      </c>
      <c r="I419" s="8" t="n"/>
      <c r="J419" s="8" t="n"/>
    </row>
    <row r="420">
      <c r="B420" s="13" t="n"/>
      <c r="C420" s="8" t="n"/>
      <c r="D420" s="8" t="n"/>
      <c r="E420" s="8" t="n"/>
      <c r="F420" s="11" t="n"/>
      <c r="G420" s="14">
        <f>IF($F420="","",ROUND($F420/1.1,0))</f>
        <v/>
      </c>
      <c r="H420" s="14">
        <f>IF($F420="","",IF(기본설정!$C$9="일반과세자",$F420-$G420,0))</f>
        <v/>
      </c>
      <c r="I420" s="8" t="n"/>
      <c r="J420" s="8" t="n"/>
    </row>
    <row r="421">
      <c r="B421" s="13" t="n"/>
      <c r="C421" s="8" t="n"/>
      <c r="D421" s="8" t="n"/>
      <c r="E421" s="8" t="n"/>
      <c r="F421" s="11" t="n"/>
      <c r="G421" s="14">
        <f>IF($F421="","",ROUND($F421/1.1,0))</f>
        <v/>
      </c>
      <c r="H421" s="14">
        <f>IF($F421="","",IF(기본설정!$C$9="일반과세자",$F421-$G421,0))</f>
        <v/>
      </c>
      <c r="I421" s="8" t="n"/>
      <c r="J421" s="8" t="n"/>
    </row>
    <row r="422">
      <c r="B422" s="13" t="n"/>
      <c r="C422" s="8" t="n"/>
      <c r="D422" s="8" t="n"/>
      <c r="E422" s="8" t="n"/>
      <c r="F422" s="11" t="n"/>
      <c r="G422" s="14">
        <f>IF($F422="","",ROUND($F422/1.1,0))</f>
        <v/>
      </c>
      <c r="H422" s="14">
        <f>IF($F422="","",IF(기본설정!$C$9="일반과세자",$F422-$G422,0))</f>
        <v/>
      </c>
      <c r="I422" s="8" t="n"/>
      <c r="J422" s="8" t="n"/>
    </row>
    <row r="423">
      <c r="B423" s="13" t="n"/>
      <c r="C423" s="8" t="n"/>
      <c r="D423" s="8" t="n"/>
      <c r="E423" s="8" t="n"/>
      <c r="F423" s="11" t="n"/>
      <c r="G423" s="14">
        <f>IF($F423="","",ROUND($F423/1.1,0))</f>
        <v/>
      </c>
      <c r="H423" s="14">
        <f>IF($F423="","",IF(기본설정!$C$9="일반과세자",$F423-$G423,0))</f>
        <v/>
      </c>
      <c r="I423" s="8" t="n"/>
      <c r="J423" s="8" t="n"/>
    </row>
    <row r="424">
      <c r="B424" s="13" t="n"/>
      <c r="C424" s="8" t="n"/>
      <c r="D424" s="8" t="n"/>
      <c r="E424" s="8" t="n"/>
      <c r="F424" s="11" t="n"/>
      <c r="G424" s="14">
        <f>IF($F424="","",ROUND($F424/1.1,0))</f>
        <v/>
      </c>
      <c r="H424" s="14">
        <f>IF($F424="","",IF(기본설정!$C$9="일반과세자",$F424-$G424,0))</f>
        <v/>
      </c>
      <c r="I424" s="8" t="n"/>
      <c r="J424" s="8" t="n"/>
    </row>
    <row r="425">
      <c r="B425" s="13" t="n"/>
      <c r="C425" s="8" t="n"/>
      <c r="D425" s="8" t="n"/>
      <c r="E425" s="8" t="n"/>
      <c r="F425" s="11" t="n"/>
      <c r="G425" s="14">
        <f>IF($F425="","",ROUND($F425/1.1,0))</f>
        <v/>
      </c>
      <c r="H425" s="14">
        <f>IF($F425="","",IF(기본설정!$C$9="일반과세자",$F425-$G425,0))</f>
        <v/>
      </c>
      <c r="I425" s="8" t="n"/>
      <c r="J425" s="8" t="n"/>
    </row>
    <row r="426">
      <c r="B426" s="13" t="n"/>
      <c r="C426" s="8" t="n"/>
      <c r="D426" s="8" t="n"/>
      <c r="E426" s="8" t="n"/>
      <c r="F426" s="11" t="n"/>
      <c r="G426" s="14">
        <f>IF($F426="","",ROUND($F426/1.1,0))</f>
        <v/>
      </c>
      <c r="H426" s="14">
        <f>IF($F426="","",IF(기본설정!$C$9="일반과세자",$F426-$G426,0))</f>
        <v/>
      </c>
      <c r="I426" s="8" t="n"/>
      <c r="J426" s="8" t="n"/>
    </row>
    <row r="427">
      <c r="B427" s="13" t="n"/>
      <c r="C427" s="8" t="n"/>
      <c r="D427" s="8" t="n"/>
      <c r="E427" s="8" t="n"/>
      <c r="F427" s="11" t="n"/>
      <c r="G427" s="14">
        <f>IF($F427="","",ROUND($F427/1.1,0))</f>
        <v/>
      </c>
      <c r="H427" s="14">
        <f>IF($F427="","",IF(기본설정!$C$9="일반과세자",$F427-$G427,0))</f>
        <v/>
      </c>
      <c r="I427" s="8" t="n"/>
      <c r="J427" s="8" t="n"/>
    </row>
    <row r="428">
      <c r="B428" s="13" t="n"/>
      <c r="C428" s="8" t="n"/>
      <c r="D428" s="8" t="n"/>
      <c r="E428" s="8" t="n"/>
      <c r="F428" s="11" t="n"/>
      <c r="G428" s="14">
        <f>IF($F428="","",ROUND($F428/1.1,0))</f>
        <v/>
      </c>
      <c r="H428" s="14">
        <f>IF($F428="","",IF(기본설정!$C$9="일반과세자",$F428-$G428,0))</f>
        <v/>
      </c>
      <c r="I428" s="8" t="n"/>
      <c r="J428" s="8" t="n"/>
    </row>
    <row r="429">
      <c r="B429" s="13" t="n"/>
      <c r="C429" s="8" t="n"/>
      <c r="D429" s="8" t="n"/>
      <c r="E429" s="8" t="n"/>
      <c r="F429" s="11" t="n"/>
      <c r="G429" s="14">
        <f>IF($F429="","",ROUND($F429/1.1,0))</f>
        <v/>
      </c>
      <c r="H429" s="14">
        <f>IF($F429="","",IF(기본설정!$C$9="일반과세자",$F429-$G429,0))</f>
        <v/>
      </c>
      <c r="I429" s="8" t="n"/>
      <c r="J429" s="8" t="n"/>
    </row>
    <row r="430">
      <c r="B430" s="13" t="n"/>
      <c r="C430" s="8" t="n"/>
      <c r="D430" s="8" t="n"/>
      <c r="E430" s="8" t="n"/>
      <c r="F430" s="11" t="n"/>
      <c r="G430" s="14">
        <f>IF($F430="","",ROUND($F430/1.1,0))</f>
        <v/>
      </c>
      <c r="H430" s="14">
        <f>IF($F430="","",IF(기본설정!$C$9="일반과세자",$F430-$G430,0))</f>
        <v/>
      </c>
      <c r="I430" s="8" t="n"/>
      <c r="J430" s="8" t="n"/>
    </row>
    <row r="431">
      <c r="B431" s="13" t="n"/>
      <c r="C431" s="8" t="n"/>
      <c r="D431" s="8" t="n"/>
      <c r="E431" s="8" t="n"/>
      <c r="F431" s="11" t="n"/>
      <c r="G431" s="14">
        <f>IF($F431="","",ROUND($F431/1.1,0))</f>
        <v/>
      </c>
      <c r="H431" s="14">
        <f>IF($F431="","",IF(기본설정!$C$9="일반과세자",$F431-$G431,0))</f>
        <v/>
      </c>
      <c r="I431" s="8" t="n"/>
      <c r="J431" s="8" t="n"/>
    </row>
    <row r="432">
      <c r="B432" s="13" t="n"/>
      <c r="C432" s="8" t="n"/>
      <c r="D432" s="8" t="n"/>
      <c r="E432" s="8" t="n"/>
      <c r="F432" s="11" t="n"/>
      <c r="G432" s="14">
        <f>IF($F432="","",ROUND($F432/1.1,0))</f>
        <v/>
      </c>
      <c r="H432" s="14">
        <f>IF($F432="","",IF(기본설정!$C$9="일반과세자",$F432-$G432,0))</f>
        <v/>
      </c>
      <c r="I432" s="8" t="n"/>
      <c r="J432" s="8" t="n"/>
    </row>
    <row r="433">
      <c r="B433" s="13" t="n"/>
      <c r="C433" s="8" t="n"/>
      <c r="D433" s="8" t="n"/>
      <c r="E433" s="8" t="n"/>
      <c r="F433" s="11" t="n"/>
      <c r="G433" s="14">
        <f>IF($F433="","",ROUND($F433/1.1,0))</f>
        <v/>
      </c>
      <c r="H433" s="14">
        <f>IF($F433="","",IF(기본설정!$C$9="일반과세자",$F433-$G433,0))</f>
        <v/>
      </c>
      <c r="I433" s="8" t="n"/>
      <c r="J433" s="8" t="n"/>
    </row>
    <row r="434">
      <c r="B434" s="13" t="n"/>
      <c r="C434" s="8" t="n"/>
      <c r="D434" s="8" t="n"/>
      <c r="E434" s="8" t="n"/>
      <c r="F434" s="11" t="n"/>
      <c r="G434" s="14">
        <f>IF($F434="","",ROUND($F434/1.1,0))</f>
        <v/>
      </c>
      <c r="H434" s="14">
        <f>IF($F434="","",IF(기본설정!$C$9="일반과세자",$F434-$G434,0))</f>
        <v/>
      </c>
      <c r="I434" s="8" t="n"/>
      <c r="J434" s="8" t="n"/>
    </row>
    <row r="435">
      <c r="B435" s="13" t="n"/>
      <c r="C435" s="8" t="n"/>
      <c r="D435" s="8" t="n"/>
      <c r="E435" s="8" t="n"/>
      <c r="F435" s="11" t="n"/>
      <c r="G435" s="14">
        <f>IF($F435="","",ROUND($F435/1.1,0))</f>
        <v/>
      </c>
      <c r="H435" s="14">
        <f>IF($F435="","",IF(기본설정!$C$9="일반과세자",$F435-$G435,0))</f>
        <v/>
      </c>
      <c r="I435" s="8" t="n"/>
      <c r="J435" s="8" t="n"/>
    </row>
    <row r="436">
      <c r="B436" s="13" t="n"/>
      <c r="C436" s="8" t="n"/>
      <c r="D436" s="8" t="n"/>
      <c r="E436" s="8" t="n"/>
      <c r="F436" s="11" t="n"/>
      <c r="G436" s="14">
        <f>IF($F436="","",ROUND($F436/1.1,0))</f>
        <v/>
      </c>
      <c r="H436" s="14">
        <f>IF($F436="","",IF(기본설정!$C$9="일반과세자",$F436-$G436,0))</f>
        <v/>
      </c>
      <c r="I436" s="8" t="n"/>
      <c r="J436" s="8" t="n"/>
    </row>
    <row r="437">
      <c r="B437" s="13" t="n"/>
      <c r="C437" s="8" t="n"/>
      <c r="D437" s="8" t="n"/>
      <c r="E437" s="8" t="n"/>
      <c r="F437" s="11" t="n"/>
      <c r="G437" s="14">
        <f>IF($F437="","",ROUND($F437/1.1,0))</f>
        <v/>
      </c>
      <c r="H437" s="14">
        <f>IF($F437="","",IF(기본설정!$C$9="일반과세자",$F437-$G437,0))</f>
        <v/>
      </c>
      <c r="I437" s="8" t="n"/>
      <c r="J437" s="8" t="n"/>
    </row>
    <row r="438">
      <c r="B438" s="13" t="n"/>
      <c r="C438" s="8" t="n"/>
      <c r="D438" s="8" t="n"/>
      <c r="E438" s="8" t="n"/>
      <c r="F438" s="11" t="n"/>
      <c r="G438" s="14">
        <f>IF($F438="","",ROUND($F438/1.1,0))</f>
        <v/>
      </c>
      <c r="H438" s="14">
        <f>IF($F438="","",IF(기본설정!$C$9="일반과세자",$F438-$G438,0))</f>
        <v/>
      </c>
      <c r="I438" s="8" t="n"/>
      <c r="J438" s="8" t="n"/>
    </row>
    <row r="439">
      <c r="B439" s="13" t="n"/>
      <c r="C439" s="8" t="n"/>
      <c r="D439" s="8" t="n"/>
      <c r="E439" s="8" t="n"/>
      <c r="F439" s="11" t="n"/>
      <c r="G439" s="14">
        <f>IF($F439="","",ROUND($F439/1.1,0))</f>
        <v/>
      </c>
      <c r="H439" s="14">
        <f>IF($F439="","",IF(기본설정!$C$9="일반과세자",$F439-$G439,0))</f>
        <v/>
      </c>
      <c r="I439" s="8" t="n"/>
      <c r="J439" s="8" t="n"/>
    </row>
    <row r="440">
      <c r="B440" s="13" t="n"/>
      <c r="C440" s="8" t="n"/>
      <c r="D440" s="8" t="n"/>
      <c r="E440" s="8" t="n"/>
      <c r="F440" s="11" t="n"/>
      <c r="G440" s="14">
        <f>IF($F440="","",ROUND($F440/1.1,0))</f>
        <v/>
      </c>
      <c r="H440" s="14">
        <f>IF($F440="","",IF(기본설정!$C$9="일반과세자",$F440-$G440,0))</f>
        <v/>
      </c>
      <c r="I440" s="8" t="n"/>
      <c r="J440" s="8" t="n"/>
    </row>
    <row r="441">
      <c r="B441" s="13" t="n"/>
      <c r="C441" s="8" t="n"/>
      <c r="D441" s="8" t="n"/>
      <c r="E441" s="8" t="n"/>
      <c r="F441" s="11" t="n"/>
      <c r="G441" s="14">
        <f>IF($F441="","",ROUND($F441/1.1,0))</f>
        <v/>
      </c>
      <c r="H441" s="14">
        <f>IF($F441="","",IF(기본설정!$C$9="일반과세자",$F441-$G441,0))</f>
        <v/>
      </c>
      <c r="I441" s="8" t="n"/>
      <c r="J441" s="8" t="n"/>
    </row>
    <row r="442">
      <c r="B442" s="13" t="n"/>
      <c r="C442" s="8" t="n"/>
      <c r="D442" s="8" t="n"/>
      <c r="E442" s="8" t="n"/>
      <c r="F442" s="11" t="n"/>
      <c r="G442" s="14">
        <f>IF($F442="","",ROUND($F442/1.1,0))</f>
        <v/>
      </c>
      <c r="H442" s="14">
        <f>IF($F442="","",IF(기본설정!$C$9="일반과세자",$F442-$G442,0))</f>
        <v/>
      </c>
      <c r="I442" s="8" t="n"/>
      <c r="J442" s="8" t="n"/>
    </row>
    <row r="443">
      <c r="B443" s="13" t="n"/>
      <c r="C443" s="8" t="n"/>
      <c r="D443" s="8" t="n"/>
      <c r="E443" s="8" t="n"/>
      <c r="F443" s="11" t="n"/>
      <c r="G443" s="14">
        <f>IF($F443="","",ROUND($F443/1.1,0))</f>
        <v/>
      </c>
      <c r="H443" s="14">
        <f>IF($F443="","",IF(기본설정!$C$9="일반과세자",$F443-$G443,0))</f>
        <v/>
      </c>
      <c r="I443" s="8" t="n"/>
      <c r="J443" s="8" t="n"/>
    </row>
    <row r="444">
      <c r="B444" s="13" t="n"/>
      <c r="C444" s="8" t="n"/>
      <c r="D444" s="8" t="n"/>
      <c r="E444" s="8" t="n"/>
      <c r="F444" s="11" t="n"/>
      <c r="G444" s="14">
        <f>IF($F444="","",ROUND($F444/1.1,0))</f>
        <v/>
      </c>
      <c r="H444" s="14">
        <f>IF($F444="","",IF(기본설정!$C$9="일반과세자",$F444-$G444,0))</f>
        <v/>
      </c>
      <c r="I444" s="8" t="n"/>
      <c r="J444" s="8" t="n"/>
    </row>
    <row r="445">
      <c r="B445" s="13" t="n"/>
      <c r="C445" s="8" t="n"/>
      <c r="D445" s="8" t="n"/>
      <c r="E445" s="8" t="n"/>
      <c r="F445" s="11" t="n"/>
      <c r="G445" s="14">
        <f>IF($F445="","",ROUND($F445/1.1,0))</f>
        <v/>
      </c>
      <c r="H445" s="14">
        <f>IF($F445="","",IF(기본설정!$C$9="일반과세자",$F445-$G445,0))</f>
        <v/>
      </c>
      <c r="I445" s="8" t="n"/>
      <c r="J445" s="8" t="n"/>
    </row>
    <row r="446">
      <c r="B446" s="13" t="n"/>
      <c r="C446" s="8" t="n"/>
      <c r="D446" s="8" t="n"/>
      <c r="E446" s="8" t="n"/>
      <c r="F446" s="11" t="n"/>
      <c r="G446" s="14">
        <f>IF($F446="","",ROUND($F446/1.1,0))</f>
        <v/>
      </c>
      <c r="H446" s="14">
        <f>IF($F446="","",IF(기본설정!$C$9="일반과세자",$F446-$G446,0))</f>
        <v/>
      </c>
      <c r="I446" s="8" t="n"/>
      <c r="J446" s="8" t="n"/>
    </row>
    <row r="447">
      <c r="B447" s="13" t="n"/>
      <c r="C447" s="8" t="n"/>
      <c r="D447" s="8" t="n"/>
      <c r="E447" s="8" t="n"/>
      <c r="F447" s="11" t="n"/>
      <c r="G447" s="14">
        <f>IF($F447="","",ROUND($F447/1.1,0))</f>
        <v/>
      </c>
      <c r="H447" s="14">
        <f>IF($F447="","",IF(기본설정!$C$9="일반과세자",$F447-$G447,0))</f>
        <v/>
      </c>
      <c r="I447" s="8" t="n"/>
      <c r="J447" s="8" t="n"/>
    </row>
    <row r="448">
      <c r="B448" s="13" t="n"/>
      <c r="C448" s="8" t="n"/>
      <c r="D448" s="8" t="n"/>
      <c r="E448" s="8" t="n"/>
      <c r="F448" s="11" t="n"/>
      <c r="G448" s="14">
        <f>IF($F448="","",ROUND($F448/1.1,0))</f>
        <v/>
      </c>
      <c r="H448" s="14">
        <f>IF($F448="","",IF(기본설정!$C$9="일반과세자",$F448-$G448,0))</f>
        <v/>
      </c>
      <c r="I448" s="8" t="n"/>
      <c r="J448" s="8" t="n"/>
    </row>
    <row r="449">
      <c r="B449" s="13" t="n"/>
      <c r="C449" s="8" t="n"/>
      <c r="D449" s="8" t="n"/>
      <c r="E449" s="8" t="n"/>
      <c r="F449" s="11" t="n"/>
      <c r="G449" s="14">
        <f>IF($F449="","",ROUND($F449/1.1,0))</f>
        <v/>
      </c>
      <c r="H449" s="14">
        <f>IF($F449="","",IF(기본설정!$C$9="일반과세자",$F449-$G449,0))</f>
        <v/>
      </c>
      <c r="I449" s="8" t="n"/>
      <c r="J449" s="8" t="n"/>
    </row>
    <row r="450">
      <c r="B450" s="13" t="n"/>
      <c r="C450" s="8" t="n"/>
      <c r="D450" s="8" t="n"/>
      <c r="E450" s="8" t="n"/>
      <c r="F450" s="11" t="n"/>
      <c r="G450" s="14">
        <f>IF($F450="","",ROUND($F450/1.1,0))</f>
        <v/>
      </c>
      <c r="H450" s="14">
        <f>IF($F450="","",IF(기본설정!$C$9="일반과세자",$F450-$G450,0))</f>
        <v/>
      </c>
      <c r="I450" s="8" t="n"/>
      <c r="J450" s="8" t="n"/>
    </row>
    <row r="451">
      <c r="B451" s="13" t="n"/>
      <c r="C451" s="8" t="n"/>
      <c r="D451" s="8" t="n"/>
      <c r="E451" s="8" t="n"/>
      <c r="F451" s="11" t="n"/>
      <c r="G451" s="14">
        <f>IF($F451="","",ROUND($F451/1.1,0))</f>
        <v/>
      </c>
      <c r="H451" s="14">
        <f>IF($F451="","",IF(기본설정!$C$9="일반과세자",$F451-$G451,0))</f>
        <v/>
      </c>
      <c r="I451" s="8" t="n"/>
      <c r="J451" s="8" t="n"/>
    </row>
    <row r="452">
      <c r="B452" s="13" t="n"/>
      <c r="C452" s="8" t="n"/>
      <c r="D452" s="8" t="n"/>
      <c r="E452" s="8" t="n"/>
      <c r="F452" s="11" t="n"/>
      <c r="G452" s="14">
        <f>IF($F452="","",ROUND($F452/1.1,0))</f>
        <v/>
      </c>
      <c r="H452" s="14">
        <f>IF($F452="","",IF(기본설정!$C$9="일반과세자",$F452-$G452,0))</f>
        <v/>
      </c>
      <c r="I452" s="8" t="n"/>
      <c r="J452" s="8" t="n"/>
    </row>
    <row r="453">
      <c r="B453" s="13" t="n"/>
      <c r="C453" s="8" t="n"/>
      <c r="D453" s="8" t="n"/>
      <c r="E453" s="8" t="n"/>
      <c r="F453" s="11" t="n"/>
      <c r="G453" s="14">
        <f>IF($F453="","",ROUND($F453/1.1,0))</f>
        <v/>
      </c>
      <c r="H453" s="14">
        <f>IF($F453="","",IF(기본설정!$C$9="일반과세자",$F453-$G453,0))</f>
        <v/>
      </c>
      <c r="I453" s="8" t="n"/>
      <c r="J453" s="8" t="n"/>
    </row>
    <row r="454">
      <c r="B454" s="13" t="n"/>
      <c r="C454" s="8" t="n"/>
      <c r="D454" s="8" t="n"/>
      <c r="E454" s="8" t="n"/>
      <c r="F454" s="11" t="n"/>
      <c r="G454" s="14">
        <f>IF($F454="","",ROUND($F454/1.1,0))</f>
        <v/>
      </c>
      <c r="H454" s="14">
        <f>IF($F454="","",IF(기본설정!$C$9="일반과세자",$F454-$G454,0))</f>
        <v/>
      </c>
      <c r="I454" s="8" t="n"/>
      <c r="J454" s="8" t="n"/>
    </row>
    <row r="455">
      <c r="B455" s="13" t="n"/>
      <c r="C455" s="8" t="n"/>
      <c r="D455" s="8" t="n"/>
      <c r="E455" s="8" t="n"/>
      <c r="F455" s="11" t="n"/>
      <c r="G455" s="14">
        <f>IF($F455="","",ROUND($F455/1.1,0))</f>
        <v/>
      </c>
      <c r="H455" s="14">
        <f>IF($F455="","",IF(기본설정!$C$9="일반과세자",$F455-$G455,0))</f>
        <v/>
      </c>
      <c r="I455" s="8" t="n"/>
      <c r="J455" s="8" t="n"/>
    </row>
    <row r="456">
      <c r="B456" s="13" t="n"/>
      <c r="C456" s="8" t="n"/>
      <c r="D456" s="8" t="n"/>
      <c r="E456" s="8" t="n"/>
      <c r="F456" s="11" t="n"/>
      <c r="G456" s="14">
        <f>IF($F456="","",ROUND($F456/1.1,0))</f>
        <v/>
      </c>
      <c r="H456" s="14">
        <f>IF($F456="","",IF(기본설정!$C$9="일반과세자",$F456-$G456,0))</f>
        <v/>
      </c>
      <c r="I456" s="8" t="n"/>
      <c r="J456" s="8" t="n"/>
    </row>
    <row r="457">
      <c r="B457" s="13" t="n"/>
      <c r="C457" s="8" t="n"/>
      <c r="D457" s="8" t="n"/>
      <c r="E457" s="8" t="n"/>
      <c r="F457" s="11" t="n"/>
      <c r="G457" s="14">
        <f>IF($F457="","",ROUND($F457/1.1,0))</f>
        <v/>
      </c>
      <c r="H457" s="14">
        <f>IF($F457="","",IF(기본설정!$C$9="일반과세자",$F457-$G457,0))</f>
        <v/>
      </c>
      <c r="I457" s="8" t="n"/>
      <c r="J457" s="8" t="n"/>
    </row>
    <row r="458">
      <c r="B458" s="13" t="n"/>
      <c r="C458" s="8" t="n"/>
      <c r="D458" s="8" t="n"/>
      <c r="E458" s="8" t="n"/>
      <c r="F458" s="11" t="n"/>
      <c r="G458" s="14">
        <f>IF($F458="","",ROUND($F458/1.1,0))</f>
        <v/>
      </c>
      <c r="H458" s="14">
        <f>IF($F458="","",IF(기본설정!$C$9="일반과세자",$F458-$G458,0))</f>
        <v/>
      </c>
      <c r="I458" s="8" t="n"/>
      <c r="J458" s="8" t="n"/>
    </row>
    <row r="459">
      <c r="B459" s="13" t="n"/>
      <c r="C459" s="8" t="n"/>
      <c r="D459" s="8" t="n"/>
      <c r="E459" s="8" t="n"/>
      <c r="F459" s="11" t="n"/>
      <c r="G459" s="14">
        <f>IF($F459="","",ROUND($F459/1.1,0))</f>
        <v/>
      </c>
      <c r="H459" s="14">
        <f>IF($F459="","",IF(기본설정!$C$9="일반과세자",$F459-$G459,0))</f>
        <v/>
      </c>
      <c r="I459" s="8" t="n"/>
      <c r="J459" s="8" t="n"/>
    </row>
    <row r="460">
      <c r="B460" s="13" t="n"/>
      <c r="C460" s="8" t="n"/>
      <c r="D460" s="8" t="n"/>
      <c r="E460" s="8" t="n"/>
      <c r="F460" s="11" t="n"/>
      <c r="G460" s="14">
        <f>IF($F460="","",ROUND($F460/1.1,0))</f>
        <v/>
      </c>
      <c r="H460" s="14">
        <f>IF($F460="","",IF(기본설정!$C$9="일반과세자",$F460-$G460,0))</f>
        <v/>
      </c>
      <c r="I460" s="8" t="n"/>
      <c r="J460" s="8" t="n"/>
    </row>
    <row r="461">
      <c r="B461" s="13" t="n"/>
      <c r="C461" s="8" t="n"/>
      <c r="D461" s="8" t="n"/>
      <c r="E461" s="8" t="n"/>
      <c r="F461" s="11" t="n"/>
      <c r="G461" s="14">
        <f>IF($F461="","",ROUND($F461/1.1,0))</f>
        <v/>
      </c>
      <c r="H461" s="14">
        <f>IF($F461="","",IF(기본설정!$C$9="일반과세자",$F461-$G461,0))</f>
        <v/>
      </c>
      <c r="I461" s="8" t="n"/>
      <c r="J461" s="8" t="n"/>
    </row>
    <row r="462">
      <c r="B462" s="13" t="n"/>
      <c r="C462" s="8" t="n"/>
      <c r="D462" s="8" t="n"/>
      <c r="E462" s="8" t="n"/>
      <c r="F462" s="11" t="n"/>
      <c r="G462" s="14">
        <f>IF($F462="","",ROUND($F462/1.1,0))</f>
        <v/>
      </c>
      <c r="H462" s="14">
        <f>IF($F462="","",IF(기본설정!$C$9="일반과세자",$F462-$G462,0))</f>
        <v/>
      </c>
      <c r="I462" s="8" t="n"/>
      <c r="J462" s="8" t="n"/>
    </row>
    <row r="463">
      <c r="B463" s="13" t="n"/>
      <c r="C463" s="8" t="n"/>
      <c r="D463" s="8" t="n"/>
      <c r="E463" s="8" t="n"/>
      <c r="F463" s="11" t="n"/>
      <c r="G463" s="14">
        <f>IF($F463="","",ROUND($F463/1.1,0))</f>
        <v/>
      </c>
      <c r="H463" s="14">
        <f>IF($F463="","",IF(기본설정!$C$9="일반과세자",$F463-$G463,0))</f>
        <v/>
      </c>
      <c r="I463" s="8" t="n"/>
      <c r="J463" s="8" t="n"/>
    </row>
    <row r="464">
      <c r="B464" s="13" t="n"/>
      <c r="C464" s="8" t="n"/>
      <c r="D464" s="8" t="n"/>
      <c r="E464" s="8" t="n"/>
      <c r="F464" s="11" t="n"/>
      <c r="G464" s="14">
        <f>IF($F464="","",ROUND($F464/1.1,0))</f>
        <v/>
      </c>
      <c r="H464" s="14">
        <f>IF($F464="","",IF(기본설정!$C$9="일반과세자",$F464-$G464,0))</f>
        <v/>
      </c>
      <c r="I464" s="8" t="n"/>
      <c r="J464" s="8" t="n"/>
    </row>
    <row r="465">
      <c r="B465" s="13" t="n"/>
      <c r="C465" s="8" t="n"/>
      <c r="D465" s="8" t="n"/>
      <c r="E465" s="8" t="n"/>
      <c r="F465" s="11" t="n"/>
      <c r="G465" s="14">
        <f>IF($F465="","",ROUND($F465/1.1,0))</f>
        <v/>
      </c>
      <c r="H465" s="14">
        <f>IF($F465="","",IF(기본설정!$C$9="일반과세자",$F465-$G465,0))</f>
        <v/>
      </c>
      <c r="I465" s="8" t="n"/>
      <c r="J465" s="8" t="n"/>
    </row>
    <row r="466">
      <c r="B466" s="13" t="n"/>
      <c r="C466" s="8" t="n"/>
      <c r="D466" s="8" t="n"/>
      <c r="E466" s="8" t="n"/>
      <c r="F466" s="11" t="n"/>
      <c r="G466" s="14">
        <f>IF($F466="","",ROUND($F466/1.1,0))</f>
        <v/>
      </c>
      <c r="H466" s="14">
        <f>IF($F466="","",IF(기본설정!$C$9="일반과세자",$F466-$G466,0))</f>
        <v/>
      </c>
      <c r="I466" s="8" t="n"/>
      <c r="J466" s="8" t="n"/>
    </row>
    <row r="467">
      <c r="B467" s="13" t="n"/>
      <c r="C467" s="8" t="n"/>
      <c r="D467" s="8" t="n"/>
      <c r="E467" s="8" t="n"/>
      <c r="F467" s="11" t="n"/>
      <c r="G467" s="14">
        <f>IF($F467="","",ROUND($F467/1.1,0))</f>
        <v/>
      </c>
      <c r="H467" s="14">
        <f>IF($F467="","",IF(기본설정!$C$9="일반과세자",$F467-$G467,0))</f>
        <v/>
      </c>
      <c r="I467" s="8" t="n"/>
      <c r="J467" s="8" t="n"/>
    </row>
    <row r="468">
      <c r="B468" s="13" t="n"/>
      <c r="C468" s="8" t="n"/>
      <c r="D468" s="8" t="n"/>
      <c r="E468" s="8" t="n"/>
      <c r="F468" s="11" t="n"/>
      <c r="G468" s="14">
        <f>IF($F468="","",ROUND($F468/1.1,0))</f>
        <v/>
      </c>
      <c r="H468" s="14">
        <f>IF($F468="","",IF(기본설정!$C$9="일반과세자",$F468-$G468,0))</f>
        <v/>
      </c>
      <c r="I468" s="8" t="n"/>
      <c r="J468" s="8" t="n"/>
    </row>
    <row r="469">
      <c r="B469" s="13" t="n"/>
      <c r="C469" s="8" t="n"/>
      <c r="D469" s="8" t="n"/>
      <c r="E469" s="8" t="n"/>
      <c r="F469" s="11" t="n"/>
      <c r="G469" s="14">
        <f>IF($F469="","",ROUND($F469/1.1,0))</f>
        <v/>
      </c>
      <c r="H469" s="14">
        <f>IF($F469="","",IF(기본설정!$C$9="일반과세자",$F469-$G469,0))</f>
        <v/>
      </c>
      <c r="I469" s="8" t="n"/>
      <c r="J469" s="8" t="n"/>
    </row>
    <row r="470">
      <c r="B470" s="13" t="n"/>
      <c r="C470" s="8" t="n"/>
      <c r="D470" s="8" t="n"/>
      <c r="E470" s="8" t="n"/>
      <c r="F470" s="11" t="n"/>
      <c r="G470" s="14">
        <f>IF($F470="","",ROUND($F470/1.1,0))</f>
        <v/>
      </c>
      <c r="H470" s="14">
        <f>IF($F470="","",IF(기본설정!$C$9="일반과세자",$F470-$G470,0))</f>
        <v/>
      </c>
      <c r="I470" s="8" t="n"/>
      <c r="J470" s="8" t="n"/>
    </row>
    <row r="471">
      <c r="B471" s="13" t="n"/>
      <c r="C471" s="8" t="n"/>
      <c r="D471" s="8" t="n"/>
      <c r="E471" s="8" t="n"/>
      <c r="F471" s="11" t="n"/>
      <c r="G471" s="14">
        <f>IF($F471="","",ROUND($F471/1.1,0))</f>
        <v/>
      </c>
      <c r="H471" s="14">
        <f>IF($F471="","",IF(기본설정!$C$9="일반과세자",$F471-$G471,0))</f>
        <v/>
      </c>
      <c r="I471" s="8" t="n"/>
      <c r="J471" s="8" t="n"/>
    </row>
    <row r="472">
      <c r="B472" s="13" t="n"/>
      <c r="C472" s="8" t="n"/>
      <c r="D472" s="8" t="n"/>
      <c r="E472" s="8" t="n"/>
      <c r="F472" s="11" t="n"/>
      <c r="G472" s="14">
        <f>IF($F472="","",ROUND($F472/1.1,0))</f>
        <v/>
      </c>
      <c r="H472" s="14">
        <f>IF($F472="","",IF(기본설정!$C$9="일반과세자",$F472-$G472,0))</f>
        <v/>
      </c>
      <c r="I472" s="8" t="n"/>
      <c r="J472" s="8" t="n"/>
    </row>
    <row r="473">
      <c r="B473" s="13" t="n"/>
      <c r="C473" s="8" t="n"/>
      <c r="D473" s="8" t="n"/>
      <c r="E473" s="8" t="n"/>
      <c r="F473" s="11" t="n"/>
      <c r="G473" s="14">
        <f>IF($F473="","",ROUND($F473/1.1,0))</f>
        <v/>
      </c>
      <c r="H473" s="14">
        <f>IF($F473="","",IF(기본설정!$C$9="일반과세자",$F473-$G473,0))</f>
        <v/>
      </c>
      <c r="I473" s="8" t="n"/>
      <c r="J473" s="8" t="n"/>
    </row>
    <row r="474">
      <c r="B474" s="13" t="n"/>
      <c r="C474" s="8" t="n"/>
      <c r="D474" s="8" t="n"/>
      <c r="E474" s="8" t="n"/>
      <c r="F474" s="11" t="n"/>
      <c r="G474" s="14">
        <f>IF($F474="","",ROUND($F474/1.1,0))</f>
        <v/>
      </c>
      <c r="H474" s="14">
        <f>IF($F474="","",IF(기본설정!$C$9="일반과세자",$F474-$G474,0))</f>
        <v/>
      </c>
      <c r="I474" s="8" t="n"/>
      <c r="J474" s="8" t="n"/>
    </row>
    <row r="475">
      <c r="B475" s="13" t="n"/>
      <c r="C475" s="8" t="n"/>
      <c r="D475" s="8" t="n"/>
      <c r="E475" s="8" t="n"/>
      <c r="F475" s="11" t="n"/>
      <c r="G475" s="14">
        <f>IF($F475="","",ROUND($F475/1.1,0))</f>
        <v/>
      </c>
      <c r="H475" s="14">
        <f>IF($F475="","",IF(기본설정!$C$9="일반과세자",$F475-$G475,0))</f>
        <v/>
      </c>
      <c r="I475" s="8" t="n"/>
      <c r="J475" s="8" t="n"/>
    </row>
    <row r="476">
      <c r="B476" s="13" t="n"/>
      <c r="C476" s="8" t="n"/>
      <c r="D476" s="8" t="n"/>
      <c r="E476" s="8" t="n"/>
      <c r="F476" s="11" t="n"/>
      <c r="G476" s="14">
        <f>IF($F476="","",ROUND($F476/1.1,0))</f>
        <v/>
      </c>
      <c r="H476" s="14">
        <f>IF($F476="","",IF(기본설정!$C$9="일반과세자",$F476-$G476,0))</f>
        <v/>
      </c>
      <c r="I476" s="8" t="n"/>
      <c r="J476" s="8" t="n"/>
    </row>
    <row r="477">
      <c r="B477" s="13" t="n"/>
      <c r="C477" s="8" t="n"/>
      <c r="D477" s="8" t="n"/>
      <c r="E477" s="8" t="n"/>
      <c r="F477" s="11" t="n"/>
      <c r="G477" s="14">
        <f>IF($F477="","",ROUND($F477/1.1,0))</f>
        <v/>
      </c>
      <c r="H477" s="14">
        <f>IF($F477="","",IF(기본설정!$C$9="일반과세자",$F477-$G477,0))</f>
        <v/>
      </c>
      <c r="I477" s="8" t="n"/>
      <c r="J477" s="8" t="n"/>
    </row>
    <row r="478">
      <c r="B478" s="13" t="n"/>
      <c r="C478" s="8" t="n"/>
      <c r="D478" s="8" t="n"/>
      <c r="E478" s="8" t="n"/>
      <c r="F478" s="11" t="n"/>
      <c r="G478" s="14">
        <f>IF($F478="","",ROUND($F478/1.1,0))</f>
        <v/>
      </c>
      <c r="H478" s="14">
        <f>IF($F478="","",IF(기본설정!$C$9="일반과세자",$F478-$G478,0))</f>
        <v/>
      </c>
      <c r="I478" s="8" t="n"/>
      <c r="J478" s="8" t="n"/>
    </row>
    <row r="479">
      <c r="B479" s="13" t="n"/>
      <c r="C479" s="8" t="n"/>
      <c r="D479" s="8" t="n"/>
      <c r="E479" s="8" t="n"/>
      <c r="F479" s="11" t="n"/>
      <c r="G479" s="14">
        <f>IF($F479="","",ROUND($F479/1.1,0))</f>
        <v/>
      </c>
      <c r="H479" s="14">
        <f>IF($F479="","",IF(기본설정!$C$9="일반과세자",$F479-$G479,0))</f>
        <v/>
      </c>
      <c r="I479" s="8" t="n"/>
      <c r="J479" s="8" t="n"/>
    </row>
    <row r="480">
      <c r="B480" s="13" t="n"/>
      <c r="C480" s="8" t="n"/>
      <c r="D480" s="8" t="n"/>
      <c r="E480" s="8" t="n"/>
      <c r="F480" s="11" t="n"/>
      <c r="G480" s="14">
        <f>IF($F480="","",ROUND($F480/1.1,0))</f>
        <v/>
      </c>
      <c r="H480" s="14">
        <f>IF($F480="","",IF(기본설정!$C$9="일반과세자",$F480-$G480,0))</f>
        <v/>
      </c>
      <c r="I480" s="8" t="n"/>
      <c r="J480" s="8" t="n"/>
    </row>
    <row r="481">
      <c r="B481" s="13" t="n"/>
      <c r="C481" s="8" t="n"/>
      <c r="D481" s="8" t="n"/>
      <c r="E481" s="8" t="n"/>
      <c r="F481" s="11" t="n"/>
      <c r="G481" s="14">
        <f>IF($F481="","",ROUND($F481/1.1,0))</f>
        <v/>
      </c>
      <c r="H481" s="14">
        <f>IF($F481="","",IF(기본설정!$C$9="일반과세자",$F481-$G481,0))</f>
        <v/>
      </c>
      <c r="I481" s="8" t="n"/>
      <c r="J481" s="8" t="n"/>
    </row>
    <row r="482">
      <c r="B482" s="13" t="n"/>
      <c r="C482" s="8" t="n"/>
      <c r="D482" s="8" t="n"/>
      <c r="E482" s="8" t="n"/>
      <c r="F482" s="11" t="n"/>
      <c r="G482" s="14">
        <f>IF($F482="","",ROUND($F482/1.1,0))</f>
        <v/>
      </c>
      <c r="H482" s="14">
        <f>IF($F482="","",IF(기본설정!$C$9="일반과세자",$F482-$G482,0))</f>
        <v/>
      </c>
      <c r="I482" s="8" t="n"/>
      <c r="J482" s="8" t="n"/>
    </row>
    <row r="483">
      <c r="B483" s="13" t="n"/>
      <c r="C483" s="8" t="n"/>
      <c r="D483" s="8" t="n"/>
      <c r="E483" s="8" t="n"/>
      <c r="F483" s="11" t="n"/>
      <c r="G483" s="14">
        <f>IF($F483="","",ROUND($F483/1.1,0))</f>
        <v/>
      </c>
      <c r="H483" s="14">
        <f>IF($F483="","",IF(기본설정!$C$9="일반과세자",$F483-$G483,0))</f>
        <v/>
      </c>
      <c r="I483" s="8" t="n"/>
      <c r="J483" s="8" t="n"/>
    </row>
    <row r="484">
      <c r="B484" s="13" t="n"/>
      <c r="C484" s="8" t="n"/>
      <c r="D484" s="8" t="n"/>
      <c r="E484" s="8" t="n"/>
      <c r="F484" s="11" t="n"/>
      <c r="G484" s="14">
        <f>IF($F484="","",ROUND($F484/1.1,0))</f>
        <v/>
      </c>
      <c r="H484" s="14">
        <f>IF($F484="","",IF(기본설정!$C$9="일반과세자",$F484-$G484,0))</f>
        <v/>
      </c>
      <c r="I484" s="8" t="n"/>
      <c r="J484" s="8" t="n"/>
    </row>
    <row r="485">
      <c r="B485" s="13" t="n"/>
      <c r="C485" s="8" t="n"/>
      <c r="D485" s="8" t="n"/>
      <c r="E485" s="8" t="n"/>
      <c r="F485" s="11" t="n"/>
      <c r="G485" s="14">
        <f>IF($F485="","",ROUND($F485/1.1,0))</f>
        <v/>
      </c>
      <c r="H485" s="14">
        <f>IF($F485="","",IF(기본설정!$C$9="일반과세자",$F485-$G485,0))</f>
        <v/>
      </c>
      <c r="I485" s="8" t="n"/>
      <c r="J485" s="8" t="n"/>
    </row>
    <row r="486">
      <c r="B486" s="13" t="n"/>
      <c r="C486" s="8" t="n"/>
      <c r="D486" s="8" t="n"/>
      <c r="E486" s="8" t="n"/>
      <c r="F486" s="11" t="n"/>
      <c r="G486" s="14">
        <f>IF($F486="","",ROUND($F486/1.1,0))</f>
        <v/>
      </c>
      <c r="H486" s="14">
        <f>IF($F486="","",IF(기본설정!$C$9="일반과세자",$F486-$G486,0))</f>
        <v/>
      </c>
      <c r="I486" s="8" t="n"/>
      <c r="J486" s="8" t="n"/>
    </row>
    <row r="487">
      <c r="B487" s="13" t="n"/>
      <c r="C487" s="8" t="n"/>
      <c r="D487" s="8" t="n"/>
      <c r="E487" s="8" t="n"/>
      <c r="F487" s="11" t="n"/>
      <c r="G487" s="14">
        <f>IF($F487="","",ROUND($F487/1.1,0))</f>
        <v/>
      </c>
      <c r="H487" s="14">
        <f>IF($F487="","",IF(기본설정!$C$9="일반과세자",$F487-$G487,0))</f>
        <v/>
      </c>
      <c r="I487" s="8" t="n"/>
      <c r="J487" s="8" t="n"/>
    </row>
    <row r="488">
      <c r="B488" s="13" t="n"/>
      <c r="C488" s="8" t="n"/>
      <c r="D488" s="8" t="n"/>
      <c r="E488" s="8" t="n"/>
      <c r="F488" s="11" t="n"/>
      <c r="G488" s="14">
        <f>IF($F488="","",ROUND($F488/1.1,0))</f>
        <v/>
      </c>
      <c r="H488" s="14">
        <f>IF($F488="","",IF(기본설정!$C$9="일반과세자",$F488-$G488,0))</f>
        <v/>
      </c>
      <c r="I488" s="8" t="n"/>
      <c r="J488" s="8" t="n"/>
    </row>
    <row r="489">
      <c r="B489" s="13" t="n"/>
      <c r="C489" s="8" t="n"/>
      <c r="D489" s="8" t="n"/>
      <c r="E489" s="8" t="n"/>
      <c r="F489" s="11" t="n"/>
      <c r="G489" s="14">
        <f>IF($F489="","",ROUND($F489/1.1,0))</f>
        <v/>
      </c>
      <c r="H489" s="14">
        <f>IF($F489="","",IF(기본설정!$C$9="일반과세자",$F489-$G489,0))</f>
        <v/>
      </c>
      <c r="I489" s="8" t="n"/>
      <c r="J489" s="8" t="n"/>
    </row>
    <row r="490">
      <c r="B490" s="13" t="n"/>
      <c r="C490" s="8" t="n"/>
      <c r="D490" s="8" t="n"/>
      <c r="E490" s="8" t="n"/>
      <c r="F490" s="11" t="n"/>
      <c r="G490" s="14">
        <f>IF($F490="","",ROUND($F490/1.1,0))</f>
        <v/>
      </c>
      <c r="H490" s="14">
        <f>IF($F490="","",IF(기본설정!$C$9="일반과세자",$F490-$G490,0))</f>
        <v/>
      </c>
      <c r="I490" s="8" t="n"/>
      <c r="J490" s="8" t="n"/>
    </row>
    <row r="491">
      <c r="B491" s="13" t="n"/>
      <c r="C491" s="8" t="n"/>
      <c r="D491" s="8" t="n"/>
      <c r="E491" s="8" t="n"/>
      <c r="F491" s="11" t="n"/>
      <c r="G491" s="14">
        <f>IF($F491="","",ROUND($F491/1.1,0))</f>
        <v/>
      </c>
      <c r="H491" s="14">
        <f>IF($F491="","",IF(기본설정!$C$9="일반과세자",$F491-$G491,0))</f>
        <v/>
      </c>
      <c r="I491" s="8" t="n"/>
      <c r="J491" s="8" t="n"/>
    </row>
    <row r="492">
      <c r="B492" s="13" t="n"/>
      <c r="C492" s="8" t="n"/>
      <c r="D492" s="8" t="n"/>
      <c r="E492" s="8" t="n"/>
      <c r="F492" s="11" t="n"/>
      <c r="G492" s="14">
        <f>IF($F492="","",ROUND($F492/1.1,0))</f>
        <v/>
      </c>
      <c r="H492" s="14">
        <f>IF($F492="","",IF(기본설정!$C$9="일반과세자",$F492-$G492,0))</f>
        <v/>
      </c>
      <c r="I492" s="8" t="n"/>
      <c r="J492" s="8" t="n"/>
    </row>
    <row r="493">
      <c r="B493" s="13" t="n"/>
      <c r="C493" s="8" t="n"/>
      <c r="D493" s="8" t="n"/>
      <c r="E493" s="8" t="n"/>
      <c r="F493" s="11" t="n"/>
      <c r="G493" s="14">
        <f>IF($F493="","",ROUND($F493/1.1,0))</f>
        <v/>
      </c>
      <c r="H493" s="14">
        <f>IF($F493="","",IF(기본설정!$C$9="일반과세자",$F493-$G493,0))</f>
        <v/>
      </c>
      <c r="I493" s="8" t="n"/>
      <c r="J493" s="8" t="n"/>
    </row>
    <row r="494">
      <c r="B494" s="13" t="n"/>
      <c r="C494" s="8" t="n"/>
      <c r="D494" s="8" t="n"/>
      <c r="E494" s="8" t="n"/>
      <c r="F494" s="11" t="n"/>
      <c r="G494" s="14">
        <f>IF($F494="","",ROUND($F494/1.1,0))</f>
        <v/>
      </c>
      <c r="H494" s="14">
        <f>IF($F494="","",IF(기본설정!$C$9="일반과세자",$F494-$G494,0))</f>
        <v/>
      </c>
      <c r="I494" s="8" t="n"/>
      <c r="J494" s="8" t="n"/>
    </row>
    <row r="495">
      <c r="B495" s="13" t="n"/>
      <c r="C495" s="8" t="n"/>
      <c r="D495" s="8" t="n"/>
      <c r="E495" s="8" t="n"/>
      <c r="F495" s="11" t="n"/>
      <c r="G495" s="14">
        <f>IF($F495="","",ROUND($F495/1.1,0))</f>
        <v/>
      </c>
      <c r="H495" s="14">
        <f>IF($F495="","",IF(기본설정!$C$9="일반과세자",$F495-$G495,0))</f>
        <v/>
      </c>
      <c r="I495" s="8" t="n"/>
      <c r="J495" s="8" t="n"/>
    </row>
    <row r="496">
      <c r="B496" s="13" t="n"/>
      <c r="C496" s="8" t="n"/>
      <c r="D496" s="8" t="n"/>
      <c r="E496" s="8" t="n"/>
      <c r="F496" s="11" t="n"/>
      <c r="G496" s="14">
        <f>IF($F496="","",ROUND($F496/1.1,0))</f>
        <v/>
      </c>
      <c r="H496" s="14">
        <f>IF($F496="","",IF(기본설정!$C$9="일반과세자",$F496-$G496,0))</f>
        <v/>
      </c>
      <c r="I496" s="8" t="n"/>
      <c r="J496" s="8" t="n"/>
    </row>
    <row r="497">
      <c r="B497" s="13" t="n"/>
      <c r="C497" s="8" t="n"/>
      <c r="D497" s="8" t="n"/>
      <c r="E497" s="8" t="n"/>
      <c r="F497" s="11" t="n"/>
      <c r="G497" s="14">
        <f>IF($F497="","",ROUND($F497/1.1,0))</f>
        <v/>
      </c>
      <c r="H497" s="14">
        <f>IF($F497="","",IF(기본설정!$C$9="일반과세자",$F497-$G497,0))</f>
        <v/>
      </c>
      <c r="I497" s="8" t="n"/>
      <c r="J497" s="8" t="n"/>
    </row>
    <row r="498">
      <c r="B498" s="13" t="n"/>
      <c r="C498" s="8" t="n"/>
      <c r="D498" s="8" t="n"/>
      <c r="E498" s="8" t="n"/>
      <c r="F498" s="11" t="n"/>
      <c r="G498" s="14">
        <f>IF($F498="","",ROUND($F498/1.1,0))</f>
        <v/>
      </c>
      <c r="H498" s="14">
        <f>IF($F498="","",IF(기본설정!$C$9="일반과세자",$F498-$G498,0))</f>
        <v/>
      </c>
      <c r="I498" s="8" t="n"/>
      <c r="J498" s="8" t="n"/>
    </row>
    <row r="499">
      <c r="B499" s="13" t="n"/>
      <c r="C499" s="8" t="n"/>
      <c r="D499" s="8" t="n"/>
      <c r="E499" s="8" t="n"/>
      <c r="F499" s="11" t="n"/>
      <c r="G499" s="14">
        <f>IF($F499="","",ROUND($F499/1.1,0))</f>
        <v/>
      </c>
      <c r="H499" s="14">
        <f>IF($F499="","",IF(기본설정!$C$9="일반과세자",$F499-$G499,0))</f>
        <v/>
      </c>
      <c r="I499" s="8" t="n"/>
      <c r="J499" s="8" t="n"/>
    </row>
    <row r="500">
      <c r="B500" s="13" t="n"/>
      <c r="C500" s="8" t="n"/>
      <c r="D500" s="8" t="n"/>
      <c r="E500" s="8" t="n"/>
      <c r="F500" s="11" t="n"/>
      <c r="G500" s="14">
        <f>IF($F500="","",ROUND($F500/1.1,0))</f>
        <v/>
      </c>
      <c r="H500" s="14">
        <f>IF($F500="","",IF(기본설정!$C$9="일반과세자",$F500-$G500,0))</f>
        <v/>
      </c>
      <c r="I500" s="8" t="n"/>
      <c r="J500" s="8" t="n"/>
    </row>
    <row r="501">
      <c r="B501" s="13" t="n"/>
      <c r="C501" s="8" t="n"/>
      <c r="D501" s="8" t="n"/>
      <c r="E501" s="8" t="n"/>
      <c r="F501" s="11" t="n"/>
      <c r="G501" s="14">
        <f>IF($F501="","",ROUND($F501/1.1,0))</f>
        <v/>
      </c>
      <c r="H501" s="14">
        <f>IF($F501="","",IF(기본설정!$C$9="일반과세자",$F501-$G501,0))</f>
        <v/>
      </c>
      <c r="I501" s="8" t="n"/>
      <c r="J501" s="8" t="n"/>
    </row>
    <row r="502">
      <c r="B502" s="13" t="n"/>
      <c r="C502" s="8" t="n"/>
      <c r="D502" s="8" t="n"/>
      <c r="E502" s="8" t="n"/>
      <c r="F502" s="11" t="n"/>
      <c r="G502" s="14">
        <f>IF($F502="","",ROUND($F502/1.1,0))</f>
        <v/>
      </c>
      <c r="H502" s="14">
        <f>IF($F502="","",IF(기본설정!$C$9="일반과세자",$F502-$G502,0))</f>
        <v/>
      </c>
      <c r="I502" s="8" t="n"/>
      <c r="J502" s="8" t="n"/>
    </row>
    <row r="503">
      <c r="B503" s="13" t="n"/>
      <c r="C503" s="8" t="n"/>
      <c r="D503" s="8" t="n"/>
      <c r="E503" s="8" t="n"/>
      <c r="F503" s="11" t="n"/>
      <c r="G503" s="14">
        <f>IF($F503="","",ROUND($F503/1.1,0))</f>
        <v/>
      </c>
      <c r="H503" s="14">
        <f>IF($F503="","",IF(기본설정!$C$9="일반과세자",$F503-$G503,0))</f>
        <v/>
      </c>
      <c r="I503" s="8" t="n"/>
      <c r="J503" s="8" t="n"/>
    </row>
    <row r="504">
      <c r="B504" s="13" t="n"/>
      <c r="C504" s="8" t="n"/>
      <c r="D504" s="8" t="n"/>
      <c r="E504" s="8" t="n"/>
      <c r="F504" s="11" t="n"/>
      <c r="G504" s="14">
        <f>IF($F504="","",ROUND($F504/1.1,0))</f>
        <v/>
      </c>
      <c r="H504" s="14">
        <f>IF($F504="","",IF(기본설정!$C$9="일반과세자",$F504-$G504,0))</f>
        <v/>
      </c>
      <c r="I504" s="8" t="n"/>
      <c r="J504" s="8" t="n"/>
    </row>
    <row r="505">
      <c r="B505" s="13" t="n"/>
      <c r="C505" s="8" t="n"/>
      <c r="D505" s="8" t="n"/>
      <c r="E505" s="8" t="n"/>
      <c r="F505" s="11" t="n"/>
      <c r="G505" s="14">
        <f>IF($F505="","",ROUND($F505/1.1,0))</f>
        <v/>
      </c>
      <c r="H505" s="14">
        <f>IF($F505="","",IF(기본설정!$C$9="일반과세자",$F505-$G505,0))</f>
        <v/>
      </c>
      <c r="I505" s="8" t="n"/>
      <c r="J505" s="8" t="n"/>
    </row>
    <row r="506">
      <c r="B506" s="13" t="n"/>
      <c r="C506" s="8" t="n"/>
      <c r="D506" s="8" t="n"/>
      <c r="E506" s="8" t="n"/>
      <c r="F506" s="11" t="n"/>
      <c r="G506" s="14">
        <f>IF($F506="","",ROUND($F506/1.1,0))</f>
        <v/>
      </c>
      <c r="H506" s="14">
        <f>IF($F506="","",IF(기본설정!$C$9="일반과세자",$F506-$G506,0))</f>
        <v/>
      </c>
      <c r="I506" s="8" t="n"/>
      <c r="J506" s="8" t="n"/>
    </row>
  </sheetData>
  <dataValidations count="3">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showDropDown="0" showInputMessage="0" showErrorMessage="0" allowBlank="1" type="list">
      <formula1>=기본설정!$F$15:$F$27</formula1>
    </dataValidation>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showDropDown="0" showInputMessage="0" showErrorMessage="0" allowBlank="1" type="list">
      <formula1>=기본설정!$G$7:$G$11</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I504 I505 I506" showDropDown="0" showInputMessage="0" showErrorMessage="0" allowBlank="1" type="list">
      <formula1>"예,아니오"</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O30"/>
  <sheetViews>
    <sheetView showGridLines="0" workbookViewId="0">
      <selection activeCell="A1" sqref="A1"/>
    </sheetView>
  </sheetViews>
  <sheetFormatPr baseColWidth="8" defaultRowHeight="15"/>
  <cols>
    <col width="3" customWidth="1" min="1" max="1"/>
    <col width="22"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2" ht="28" customHeight="1">
      <c r="B2" s="1" t="inlineStr">
        <is>
          <t>손익계산</t>
        </is>
      </c>
    </row>
    <row r="3">
      <c r="B3" s="2" t="inlineStr">
        <is>
          <t>12개월 전체와 연간 합계입니다.</t>
        </is>
      </c>
    </row>
    <row r="4" ht="8" customHeight="1"/>
    <row r="6">
      <c r="B6" s="5" t="inlineStr">
        <is>
          <t>연도</t>
        </is>
      </c>
      <c r="C6" s="8" t="n">
        <v>2026</v>
      </c>
    </row>
    <row r="8" ht="26" customHeight="1">
      <c r="B8" s="12" t="inlineStr">
        <is>
          <t>항목</t>
        </is>
      </c>
      <c r="C8" s="12" t="inlineStr">
        <is>
          <t>1월</t>
        </is>
      </c>
      <c r="D8" s="12" t="inlineStr">
        <is>
          <t>2월</t>
        </is>
      </c>
      <c r="E8" s="12" t="inlineStr">
        <is>
          <t>3월</t>
        </is>
      </c>
      <c r="F8" s="12" t="inlineStr">
        <is>
          <t>4월</t>
        </is>
      </c>
      <c r="G8" s="12" t="inlineStr">
        <is>
          <t>5월</t>
        </is>
      </c>
      <c r="H8" s="12" t="inlineStr">
        <is>
          <t>6월</t>
        </is>
      </c>
      <c r="I8" s="12" t="inlineStr">
        <is>
          <t>7월</t>
        </is>
      </c>
      <c r="J8" s="12" t="inlineStr">
        <is>
          <t>8월</t>
        </is>
      </c>
      <c r="K8" s="12" t="inlineStr">
        <is>
          <t>9월</t>
        </is>
      </c>
      <c r="L8" s="12" t="inlineStr">
        <is>
          <t>10월</t>
        </is>
      </c>
      <c r="M8" s="12" t="inlineStr">
        <is>
          <t>11월</t>
        </is>
      </c>
      <c r="N8" s="12" t="inlineStr">
        <is>
          <t>12월</t>
        </is>
      </c>
      <c r="O8" s="12" t="inlineStr">
        <is>
          <t>연간</t>
        </is>
      </c>
    </row>
    <row r="9">
      <c r="B9" s="5" t="inlineStr">
        <is>
          <t>매출액</t>
        </is>
      </c>
      <c r="C9" s="14">
        <f>SUMIFS(매출!$F$7:$F$506,매출!$B$7:$B$506,"&gt;="&amp;DATE($C$6,1,1),매출!$B$7:$B$506,"&lt;="&amp;EOMONTH(DATE($C$6,1,1),0))</f>
        <v/>
      </c>
      <c r="D9" s="14">
        <f>SUMIFS(매출!$F$7:$F$506,매출!$B$7:$B$506,"&gt;="&amp;DATE($C$6,2,1),매출!$B$7:$B$506,"&lt;="&amp;EOMONTH(DATE($C$6,2,1),0))</f>
        <v/>
      </c>
      <c r="E9" s="14">
        <f>SUMIFS(매출!$F$7:$F$506,매출!$B$7:$B$506,"&gt;="&amp;DATE($C$6,3,1),매출!$B$7:$B$506,"&lt;="&amp;EOMONTH(DATE($C$6,3,1),0))</f>
        <v/>
      </c>
      <c r="F9" s="14">
        <f>SUMIFS(매출!$F$7:$F$506,매출!$B$7:$B$506,"&gt;="&amp;DATE($C$6,4,1),매출!$B$7:$B$506,"&lt;="&amp;EOMONTH(DATE($C$6,4,1),0))</f>
        <v/>
      </c>
      <c r="G9" s="14">
        <f>SUMIFS(매출!$F$7:$F$506,매출!$B$7:$B$506,"&gt;="&amp;DATE($C$6,5,1),매출!$B$7:$B$506,"&lt;="&amp;EOMONTH(DATE($C$6,5,1),0))</f>
        <v/>
      </c>
      <c r="H9" s="14">
        <f>SUMIFS(매출!$F$7:$F$506,매출!$B$7:$B$506,"&gt;="&amp;DATE($C$6,6,1),매출!$B$7:$B$506,"&lt;="&amp;EOMONTH(DATE($C$6,6,1),0))</f>
        <v/>
      </c>
      <c r="I9" s="14">
        <f>SUMIFS(매출!$F$7:$F$506,매출!$B$7:$B$506,"&gt;="&amp;DATE($C$6,7,1),매출!$B$7:$B$506,"&lt;="&amp;EOMONTH(DATE($C$6,7,1),0))</f>
        <v/>
      </c>
      <c r="J9" s="14">
        <f>SUMIFS(매출!$F$7:$F$506,매출!$B$7:$B$506,"&gt;="&amp;DATE($C$6,8,1),매출!$B$7:$B$506,"&lt;="&amp;EOMONTH(DATE($C$6,8,1),0))</f>
        <v/>
      </c>
      <c r="K9" s="14">
        <f>SUMIFS(매출!$F$7:$F$506,매출!$B$7:$B$506,"&gt;="&amp;DATE($C$6,9,1),매출!$B$7:$B$506,"&lt;="&amp;EOMONTH(DATE($C$6,9,1),0))</f>
        <v/>
      </c>
      <c r="L9" s="14">
        <f>SUMIFS(매출!$F$7:$F$506,매출!$B$7:$B$506,"&gt;="&amp;DATE($C$6,10,1),매출!$B$7:$B$506,"&lt;="&amp;EOMONTH(DATE($C$6,10,1),0))</f>
        <v/>
      </c>
      <c r="M9" s="14">
        <f>SUMIFS(매출!$F$7:$F$506,매출!$B$7:$B$506,"&gt;="&amp;DATE($C$6,11,1),매출!$B$7:$B$506,"&lt;="&amp;EOMONTH(DATE($C$6,11,1),0))</f>
        <v/>
      </c>
      <c r="N9" s="14">
        <f>SUMIFS(매출!$F$7:$F$506,매출!$B$7:$B$506,"&gt;="&amp;DATE($C$6,12,1),매출!$B$7:$B$506,"&lt;="&amp;EOMONTH(DATE($C$6,12,1),0))</f>
        <v/>
      </c>
      <c r="O9" s="15">
        <f>SUM(C9:N9)</f>
        <v/>
      </c>
    </row>
    <row r="10">
      <c r="B10" s="5" t="inlineStr">
        <is>
          <t>비용 합계</t>
        </is>
      </c>
      <c r="C10" s="14">
        <f>SUMIFS(비용!$F$7:$F$506,비용!$B$7:$B$506,"&gt;="&amp;DATE($C$6,1,1),비용!$B$7:$B$506,"&lt;="&amp;EOMONTH(DATE($C$6,1,1),0))</f>
        <v/>
      </c>
      <c r="D10" s="14">
        <f>SUMIFS(비용!$F$7:$F$506,비용!$B$7:$B$506,"&gt;="&amp;DATE($C$6,2,1),비용!$B$7:$B$506,"&lt;="&amp;EOMONTH(DATE($C$6,2,1),0))</f>
        <v/>
      </c>
      <c r="E10" s="14">
        <f>SUMIFS(비용!$F$7:$F$506,비용!$B$7:$B$506,"&gt;="&amp;DATE($C$6,3,1),비용!$B$7:$B$506,"&lt;="&amp;EOMONTH(DATE($C$6,3,1),0))</f>
        <v/>
      </c>
      <c r="F10" s="14">
        <f>SUMIFS(비용!$F$7:$F$506,비용!$B$7:$B$506,"&gt;="&amp;DATE($C$6,4,1),비용!$B$7:$B$506,"&lt;="&amp;EOMONTH(DATE($C$6,4,1),0))</f>
        <v/>
      </c>
      <c r="G10" s="14">
        <f>SUMIFS(비용!$F$7:$F$506,비용!$B$7:$B$506,"&gt;="&amp;DATE($C$6,5,1),비용!$B$7:$B$506,"&lt;="&amp;EOMONTH(DATE($C$6,5,1),0))</f>
        <v/>
      </c>
      <c r="H10" s="14">
        <f>SUMIFS(비용!$F$7:$F$506,비용!$B$7:$B$506,"&gt;="&amp;DATE($C$6,6,1),비용!$B$7:$B$506,"&lt;="&amp;EOMONTH(DATE($C$6,6,1),0))</f>
        <v/>
      </c>
      <c r="I10" s="14">
        <f>SUMIFS(비용!$F$7:$F$506,비용!$B$7:$B$506,"&gt;="&amp;DATE($C$6,7,1),비용!$B$7:$B$506,"&lt;="&amp;EOMONTH(DATE($C$6,7,1),0))</f>
        <v/>
      </c>
      <c r="J10" s="14">
        <f>SUMIFS(비용!$F$7:$F$506,비용!$B$7:$B$506,"&gt;="&amp;DATE($C$6,8,1),비용!$B$7:$B$506,"&lt;="&amp;EOMONTH(DATE($C$6,8,1),0))</f>
        <v/>
      </c>
      <c r="K10" s="14">
        <f>SUMIFS(비용!$F$7:$F$506,비용!$B$7:$B$506,"&gt;="&amp;DATE($C$6,9,1),비용!$B$7:$B$506,"&lt;="&amp;EOMONTH(DATE($C$6,9,1),0))</f>
        <v/>
      </c>
      <c r="L10" s="14">
        <f>SUMIFS(비용!$F$7:$F$506,비용!$B$7:$B$506,"&gt;="&amp;DATE($C$6,10,1),비용!$B$7:$B$506,"&lt;="&amp;EOMONTH(DATE($C$6,10,1),0))</f>
        <v/>
      </c>
      <c r="M10" s="14">
        <f>SUMIFS(비용!$F$7:$F$506,비용!$B$7:$B$506,"&gt;="&amp;DATE($C$6,11,1),비용!$B$7:$B$506,"&lt;="&amp;EOMONTH(DATE($C$6,11,1),0))</f>
        <v/>
      </c>
      <c r="N10" s="14">
        <f>SUMIFS(비용!$F$7:$F$506,비용!$B$7:$B$506,"&gt;="&amp;DATE($C$6,12,1),비용!$B$7:$B$506,"&lt;="&amp;EOMONTH(DATE($C$6,12,1),0))</f>
        <v/>
      </c>
      <c r="O10" s="15">
        <f>SUM(C10:N10)</f>
        <v/>
      </c>
    </row>
    <row r="11">
      <c r="B11" s="6" t="inlineStr">
        <is>
          <t xml:space="preserve">  경비 인정분</t>
        </is>
      </c>
      <c r="C11" s="14">
        <f>SUMIFS(비용!$F$7:$F$506,비용!$B$7:$B$506,"&gt;="&amp;DATE($C$6,1,1),비용!$B$7:$B$506,"&lt;="&amp;EOMONTH(DATE($C$6,1,1),0),비용!$I$7:$I$506,"예")</f>
        <v/>
      </c>
      <c r="D11" s="14">
        <f>SUMIFS(비용!$F$7:$F$506,비용!$B$7:$B$506,"&gt;="&amp;DATE($C$6,2,1),비용!$B$7:$B$506,"&lt;="&amp;EOMONTH(DATE($C$6,2,1),0),비용!$I$7:$I$506,"예")</f>
        <v/>
      </c>
      <c r="E11" s="14">
        <f>SUMIFS(비용!$F$7:$F$506,비용!$B$7:$B$506,"&gt;="&amp;DATE($C$6,3,1),비용!$B$7:$B$506,"&lt;="&amp;EOMONTH(DATE($C$6,3,1),0),비용!$I$7:$I$506,"예")</f>
        <v/>
      </c>
      <c r="F11" s="14">
        <f>SUMIFS(비용!$F$7:$F$506,비용!$B$7:$B$506,"&gt;="&amp;DATE($C$6,4,1),비용!$B$7:$B$506,"&lt;="&amp;EOMONTH(DATE($C$6,4,1),0),비용!$I$7:$I$506,"예")</f>
        <v/>
      </c>
      <c r="G11" s="14">
        <f>SUMIFS(비용!$F$7:$F$506,비용!$B$7:$B$506,"&gt;="&amp;DATE($C$6,5,1),비용!$B$7:$B$506,"&lt;="&amp;EOMONTH(DATE($C$6,5,1),0),비용!$I$7:$I$506,"예")</f>
        <v/>
      </c>
      <c r="H11" s="14">
        <f>SUMIFS(비용!$F$7:$F$506,비용!$B$7:$B$506,"&gt;="&amp;DATE($C$6,6,1),비용!$B$7:$B$506,"&lt;="&amp;EOMONTH(DATE($C$6,6,1),0),비용!$I$7:$I$506,"예")</f>
        <v/>
      </c>
      <c r="I11" s="14">
        <f>SUMIFS(비용!$F$7:$F$506,비용!$B$7:$B$506,"&gt;="&amp;DATE($C$6,7,1),비용!$B$7:$B$506,"&lt;="&amp;EOMONTH(DATE($C$6,7,1),0),비용!$I$7:$I$506,"예")</f>
        <v/>
      </c>
      <c r="J11" s="14">
        <f>SUMIFS(비용!$F$7:$F$506,비용!$B$7:$B$506,"&gt;="&amp;DATE($C$6,8,1),비용!$B$7:$B$506,"&lt;="&amp;EOMONTH(DATE($C$6,8,1),0),비용!$I$7:$I$506,"예")</f>
        <v/>
      </c>
      <c r="K11" s="14">
        <f>SUMIFS(비용!$F$7:$F$506,비용!$B$7:$B$506,"&gt;="&amp;DATE($C$6,9,1),비용!$B$7:$B$506,"&lt;="&amp;EOMONTH(DATE($C$6,9,1),0),비용!$I$7:$I$506,"예")</f>
        <v/>
      </c>
      <c r="L11" s="14">
        <f>SUMIFS(비용!$F$7:$F$506,비용!$B$7:$B$506,"&gt;="&amp;DATE($C$6,10,1),비용!$B$7:$B$506,"&lt;="&amp;EOMONTH(DATE($C$6,10,1),0),비용!$I$7:$I$506,"예")</f>
        <v/>
      </c>
      <c r="M11" s="14">
        <f>SUMIFS(비용!$F$7:$F$506,비용!$B$7:$B$506,"&gt;="&amp;DATE($C$6,11,1),비용!$B$7:$B$506,"&lt;="&amp;EOMONTH(DATE($C$6,11,1),0),비용!$I$7:$I$506,"예")</f>
        <v/>
      </c>
      <c r="N11" s="14">
        <f>SUMIFS(비용!$F$7:$F$506,비용!$B$7:$B$506,"&gt;="&amp;DATE($C$6,12,1),비용!$B$7:$B$506,"&lt;="&amp;EOMONTH(DATE($C$6,12,1),0),비용!$I$7:$I$506,"예")</f>
        <v/>
      </c>
      <c r="O11" s="15">
        <f>SUM(C11:N11)</f>
        <v/>
      </c>
    </row>
    <row r="12">
      <c r="B12" s="5" t="inlineStr">
        <is>
          <t>순이익</t>
        </is>
      </c>
      <c r="C12" s="15">
        <f>C9-C10</f>
        <v/>
      </c>
      <c r="D12" s="15">
        <f>D9-D10</f>
        <v/>
      </c>
      <c r="E12" s="15">
        <f>E9-E10</f>
        <v/>
      </c>
      <c r="F12" s="15">
        <f>F9-F10</f>
        <v/>
      </c>
      <c r="G12" s="15">
        <f>G9-G10</f>
        <v/>
      </c>
      <c r="H12" s="15">
        <f>H9-H10</f>
        <v/>
      </c>
      <c r="I12" s="15">
        <f>I9-I10</f>
        <v/>
      </c>
      <c r="J12" s="15">
        <f>J9-J10</f>
        <v/>
      </c>
      <c r="K12" s="15">
        <f>K9-K10</f>
        <v/>
      </c>
      <c r="L12" s="15">
        <f>L9-L10</f>
        <v/>
      </c>
      <c r="M12" s="15">
        <f>M9-M10</f>
        <v/>
      </c>
      <c r="N12" s="15">
        <f>N9-N10</f>
        <v/>
      </c>
      <c r="O12" s="15">
        <f>SUM(C12:N12)</f>
        <v/>
      </c>
    </row>
    <row r="13">
      <c r="B13" s="5" t="inlineStr">
        <is>
          <t>이익률</t>
        </is>
      </c>
      <c r="C13" s="16">
        <f>IF(C9=0,"",C12/C9)</f>
        <v/>
      </c>
      <c r="D13" s="16">
        <f>IF(D9=0,"",D12/D9)</f>
        <v/>
      </c>
      <c r="E13" s="16">
        <f>IF(E9=0,"",E12/E9)</f>
        <v/>
      </c>
      <c r="F13" s="16">
        <f>IF(F9=0,"",F12/F9)</f>
        <v/>
      </c>
      <c r="G13" s="16">
        <f>IF(G9=0,"",G12/G9)</f>
        <v/>
      </c>
      <c r="H13" s="16">
        <f>IF(H9=0,"",H12/H9)</f>
        <v/>
      </c>
      <c r="I13" s="16">
        <f>IF(I9=0,"",I12/I9)</f>
        <v/>
      </c>
      <c r="J13" s="16">
        <f>IF(J9=0,"",J12/J9)</f>
        <v/>
      </c>
      <c r="K13" s="16">
        <f>IF(K9=0,"",K12/K9)</f>
        <v/>
      </c>
      <c r="L13" s="16">
        <f>IF(L9=0,"",L12/L9)</f>
        <v/>
      </c>
      <c r="M13" s="16">
        <f>IF(M9=0,"",M12/M9)</f>
        <v/>
      </c>
      <c r="N13" s="16">
        <f>IF(N9=0,"",N12/N9)</f>
        <v/>
      </c>
      <c r="O13" s="17">
        <f>IF(O9=0,"",O12/O9)</f>
        <v/>
      </c>
    </row>
    <row r="14">
      <c r="B14" s="5" t="inlineStr">
        <is>
          <t>원천징수액</t>
        </is>
      </c>
      <c r="C14" s="14">
        <f>SUMIFS(매출!$K$7:$K$506,매출!$B$7:$B$506,"&gt;="&amp;DATE($C$6,1,1),매출!$B$7:$B$506,"&lt;="&amp;EOMONTH(DATE($C$6,1,1),0))</f>
        <v/>
      </c>
      <c r="D14" s="14">
        <f>SUMIFS(매출!$K$7:$K$506,매출!$B$7:$B$506,"&gt;="&amp;DATE($C$6,2,1),매출!$B$7:$B$506,"&lt;="&amp;EOMONTH(DATE($C$6,2,1),0))</f>
        <v/>
      </c>
      <c r="E14" s="14">
        <f>SUMIFS(매출!$K$7:$K$506,매출!$B$7:$B$506,"&gt;="&amp;DATE($C$6,3,1),매출!$B$7:$B$506,"&lt;="&amp;EOMONTH(DATE($C$6,3,1),0))</f>
        <v/>
      </c>
      <c r="F14" s="14">
        <f>SUMIFS(매출!$K$7:$K$506,매출!$B$7:$B$506,"&gt;="&amp;DATE($C$6,4,1),매출!$B$7:$B$506,"&lt;="&amp;EOMONTH(DATE($C$6,4,1),0))</f>
        <v/>
      </c>
      <c r="G14" s="14">
        <f>SUMIFS(매출!$K$7:$K$506,매출!$B$7:$B$506,"&gt;="&amp;DATE($C$6,5,1),매출!$B$7:$B$506,"&lt;="&amp;EOMONTH(DATE($C$6,5,1),0))</f>
        <v/>
      </c>
      <c r="H14" s="14">
        <f>SUMIFS(매출!$K$7:$K$506,매출!$B$7:$B$506,"&gt;="&amp;DATE($C$6,6,1),매출!$B$7:$B$506,"&lt;="&amp;EOMONTH(DATE($C$6,6,1),0))</f>
        <v/>
      </c>
      <c r="I14" s="14">
        <f>SUMIFS(매출!$K$7:$K$506,매출!$B$7:$B$506,"&gt;="&amp;DATE($C$6,7,1),매출!$B$7:$B$506,"&lt;="&amp;EOMONTH(DATE($C$6,7,1),0))</f>
        <v/>
      </c>
      <c r="J14" s="14">
        <f>SUMIFS(매출!$K$7:$K$506,매출!$B$7:$B$506,"&gt;="&amp;DATE($C$6,8,1),매출!$B$7:$B$506,"&lt;="&amp;EOMONTH(DATE($C$6,8,1),0))</f>
        <v/>
      </c>
      <c r="K14" s="14">
        <f>SUMIFS(매출!$K$7:$K$506,매출!$B$7:$B$506,"&gt;="&amp;DATE($C$6,9,1),매출!$B$7:$B$506,"&lt;="&amp;EOMONTH(DATE($C$6,9,1),0))</f>
        <v/>
      </c>
      <c r="L14" s="14">
        <f>SUMIFS(매출!$K$7:$K$506,매출!$B$7:$B$506,"&gt;="&amp;DATE($C$6,10,1),매출!$B$7:$B$506,"&lt;="&amp;EOMONTH(DATE($C$6,10,1),0))</f>
        <v/>
      </c>
      <c r="M14" s="14">
        <f>SUMIFS(매출!$K$7:$K$506,매출!$B$7:$B$506,"&gt;="&amp;DATE($C$6,11,1),매출!$B$7:$B$506,"&lt;="&amp;EOMONTH(DATE($C$6,11,1),0))</f>
        <v/>
      </c>
      <c r="N14" s="14">
        <f>SUMIFS(매출!$K$7:$K$506,매출!$B$7:$B$506,"&gt;="&amp;DATE($C$6,12,1),매출!$B$7:$B$506,"&lt;="&amp;EOMONTH(DATE($C$6,12,1),0))</f>
        <v/>
      </c>
      <c r="O14" s="15">
        <f>SUM(C14:N14)</f>
        <v/>
      </c>
    </row>
    <row r="16" ht="20" customHeight="1">
      <c r="B16" s="3" t="inlineStr">
        <is>
          <t>카테고리별 비용 (연간)</t>
        </is>
      </c>
      <c r="C16" s="3" t="n"/>
      <c r="D16" s="3" t="n"/>
    </row>
    <row r="17" ht="26" customHeight="1">
      <c r="B17" s="12" t="inlineStr">
        <is>
          <t>카테고리</t>
        </is>
      </c>
      <c r="C17" s="12" t="inlineStr">
        <is>
          <t>금액</t>
        </is>
      </c>
      <c r="D17" s="12" t="inlineStr">
        <is>
          <t>비중</t>
        </is>
      </c>
    </row>
    <row r="18">
      <c r="B18" s="18">
        <f>기본설정!F15</f>
        <v/>
      </c>
      <c r="C18" s="14">
        <f>IF($B18="","",SUMIFS(비용!$F$7:$F$506,비용!$E$7:$E$506,$B18,비용!$B$7:$B$506,"&gt;="&amp;DATE($C$6,1,1),비용!$B$7:$B$506,"&lt;="&amp;DATE($C$6,12,31)))</f>
        <v/>
      </c>
      <c r="D18" s="16">
        <f>IF(OR($B18="",$O$10=0),"",C18/$O$10)</f>
        <v/>
      </c>
    </row>
    <row r="19">
      <c r="B19" s="18">
        <f>기본설정!F16</f>
        <v/>
      </c>
      <c r="C19" s="14">
        <f>IF($B19="","",SUMIFS(비용!$F$7:$F$506,비용!$E$7:$E$506,$B19,비용!$B$7:$B$506,"&gt;="&amp;DATE($C$6,1,1),비용!$B$7:$B$506,"&lt;="&amp;DATE($C$6,12,31)))</f>
        <v/>
      </c>
      <c r="D19" s="16">
        <f>IF(OR($B19="",$O$10=0),"",C19/$O$10)</f>
        <v/>
      </c>
    </row>
    <row r="20">
      <c r="B20" s="18">
        <f>기본설정!F17</f>
        <v/>
      </c>
      <c r="C20" s="14">
        <f>IF($B20="","",SUMIFS(비용!$F$7:$F$506,비용!$E$7:$E$506,$B20,비용!$B$7:$B$506,"&gt;="&amp;DATE($C$6,1,1),비용!$B$7:$B$506,"&lt;="&amp;DATE($C$6,12,31)))</f>
        <v/>
      </c>
      <c r="D20" s="16">
        <f>IF(OR($B20="",$O$10=0),"",C20/$O$10)</f>
        <v/>
      </c>
    </row>
    <row r="21">
      <c r="B21" s="18">
        <f>기본설정!F18</f>
        <v/>
      </c>
      <c r="C21" s="14">
        <f>IF($B21="","",SUMIFS(비용!$F$7:$F$506,비용!$E$7:$E$506,$B21,비용!$B$7:$B$506,"&gt;="&amp;DATE($C$6,1,1),비용!$B$7:$B$506,"&lt;="&amp;DATE($C$6,12,31)))</f>
        <v/>
      </c>
      <c r="D21" s="16">
        <f>IF(OR($B21="",$O$10=0),"",C21/$O$10)</f>
        <v/>
      </c>
    </row>
    <row r="22">
      <c r="B22" s="18">
        <f>기본설정!F19</f>
        <v/>
      </c>
      <c r="C22" s="14">
        <f>IF($B22="","",SUMIFS(비용!$F$7:$F$506,비용!$E$7:$E$506,$B22,비용!$B$7:$B$506,"&gt;="&amp;DATE($C$6,1,1),비용!$B$7:$B$506,"&lt;="&amp;DATE($C$6,12,31)))</f>
        <v/>
      </c>
      <c r="D22" s="16">
        <f>IF(OR($B22="",$O$10=0),"",C22/$O$10)</f>
        <v/>
      </c>
    </row>
    <row r="23">
      <c r="B23" s="18">
        <f>기본설정!F20</f>
        <v/>
      </c>
      <c r="C23" s="14">
        <f>IF($B23="","",SUMIFS(비용!$F$7:$F$506,비용!$E$7:$E$506,$B23,비용!$B$7:$B$506,"&gt;="&amp;DATE($C$6,1,1),비용!$B$7:$B$506,"&lt;="&amp;DATE($C$6,12,31)))</f>
        <v/>
      </c>
      <c r="D23" s="16">
        <f>IF(OR($B23="",$O$10=0),"",C23/$O$10)</f>
        <v/>
      </c>
    </row>
    <row r="24">
      <c r="B24" s="18">
        <f>기본설정!F21</f>
        <v/>
      </c>
      <c r="C24" s="14">
        <f>IF($B24="","",SUMIFS(비용!$F$7:$F$506,비용!$E$7:$E$506,$B24,비용!$B$7:$B$506,"&gt;="&amp;DATE($C$6,1,1),비용!$B$7:$B$506,"&lt;="&amp;DATE($C$6,12,31)))</f>
        <v/>
      </c>
      <c r="D24" s="16">
        <f>IF(OR($B24="",$O$10=0),"",C24/$O$10)</f>
        <v/>
      </c>
    </row>
    <row r="25">
      <c r="B25" s="18">
        <f>기본설정!F22</f>
        <v/>
      </c>
      <c r="C25" s="14">
        <f>IF($B25="","",SUMIFS(비용!$F$7:$F$506,비용!$E$7:$E$506,$B25,비용!$B$7:$B$506,"&gt;="&amp;DATE($C$6,1,1),비용!$B$7:$B$506,"&lt;="&amp;DATE($C$6,12,31)))</f>
        <v/>
      </c>
      <c r="D25" s="16">
        <f>IF(OR($B25="",$O$10=0),"",C25/$O$10)</f>
        <v/>
      </c>
    </row>
    <row r="26">
      <c r="B26" s="18">
        <f>기본설정!F23</f>
        <v/>
      </c>
      <c r="C26" s="14">
        <f>IF($B26="","",SUMIFS(비용!$F$7:$F$506,비용!$E$7:$E$506,$B26,비용!$B$7:$B$506,"&gt;="&amp;DATE($C$6,1,1),비용!$B$7:$B$506,"&lt;="&amp;DATE($C$6,12,31)))</f>
        <v/>
      </c>
      <c r="D26" s="16">
        <f>IF(OR($B26="",$O$10=0),"",C26/$O$10)</f>
        <v/>
      </c>
    </row>
    <row r="27">
      <c r="B27" s="18">
        <f>기본설정!F24</f>
        <v/>
      </c>
      <c r="C27" s="14">
        <f>IF($B27="","",SUMIFS(비용!$F$7:$F$506,비용!$E$7:$E$506,$B27,비용!$B$7:$B$506,"&gt;="&amp;DATE($C$6,1,1),비용!$B$7:$B$506,"&lt;="&amp;DATE($C$6,12,31)))</f>
        <v/>
      </c>
      <c r="D27" s="16">
        <f>IF(OR($B27="",$O$10=0),"",C27/$O$10)</f>
        <v/>
      </c>
    </row>
    <row r="28">
      <c r="B28" s="18">
        <f>기본설정!F25</f>
        <v/>
      </c>
      <c r="C28" s="14">
        <f>IF($B28="","",SUMIFS(비용!$F$7:$F$506,비용!$E$7:$E$506,$B28,비용!$B$7:$B$506,"&gt;="&amp;DATE($C$6,1,1),비용!$B$7:$B$506,"&lt;="&amp;DATE($C$6,12,31)))</f>
        <v/>
      </c>
      <c r="D28" s="16">
        <f>IF(OR($B28="",$O$10=0),"",C28/$O$10)</f>
        <v/>
      </c>
    </row>
    <row r="29">
      <c r="B29" s="18">
        <f>기본설정!F26</f>
        <v/>
      </c>
      <c r="C29" s="14">
        <f>IF($B29="","",SUMIFS(비용!$F$7:$F$506,비용!$E$7:$E$506,$B29,비용!$B$7:$B$506,"&gt;="&amp;DATE($C$6,1,1),비용!$B$7:$B$506,"&lt;="&amp;DATE($C$6,12,31)))</f>
        <v/>
      </c>
      <c r="D29" s="16">
        <f>IF(OR($B29="",$O$10=0),"",C29/$O$10)</f>
        <v/>
      </c>
    </row>
    <row r="30">
      <c r="B30" s="18">
        <f>기본설정!F27</f>
        <v/>
      </c>
      <c r="C30" s="14">
        <f>IF($B30="","",SUMIFS(비용!$F$7:$F$506,비용!$E$7:$E$506,$B30,비용!$B$7:$B$506,"&gt;="&amp;DATE($C$6,1,1),비용!$B$7:$B$506,"&lt;="&amp;DATE($C$6,12,31)))</f>
        <v/>
      </c>
      <c r="D30" s="16">
        <f>IF(OR($B30="",$O$10=0),"",C30/$O$10)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I24"/>
  <sheetViews>
    <sheetView showGridLines="0" workbookViewId="0">
      <selection activeCell="A1" sqref="A1"/>
    </sheetView>
  </sheetViews>
  <sheetFormatPr baseColWidth="8" defaultRowHeight="15"/>
  <cols>
    <col width="3" customWidth="1" min="1" max="1"/>
    <col width="24" customWidth="1" min="2" max="2"/>
    <col width="20" customWidth="1" min="3" max="3"/>
    <col width="6" customWidth="1" min="4" max="4"/>
    <col width="24" customWidth="1" min="5" max="5"/>
    <col width="20" customWidth="1" min="6" max="6"/>
    <col width="6" customWidth="1" min="7" max="7"/>
    <col width="26" customWidth="1" min="8" max="8"/>
    <col width="20" customWidth="1" min="9" max="9"/>
  </cols>
  <sheetData>
    <row r="2" ht="28" customHeight="1">
      <c r="B2" s="1" t="inlineStr">
        <is>
          <t>대시보드</t>
        </is>
      </c>
    </row>
    <row r="3">
      <c r="B3" s="2" t="inlineStr">
        <is>
          <t>월을 바꾸면 그 달 숫자가 나옵니다.</t>
        </is>
      </c>
    </row>
    <row r="4" ht="8" customHeight="1"/>
    <row r="6">
      <c r="B6" s="5" t="inlineStr">
        <is>
          <t>보고 싶은 월</t>
        </is>
      </c>
      <c r="C6" s="8" t="n">
        <v>1</v>
      </c>
      <c r="D6" s="6" t="inlineStr">
        <is>
          <t>월</t>
        </is>
      </c>
    </row>
    <row r="8" ht="20" customHeight="1">
      <c r="B8" s="3" t="inlineStr">
        <is>
          <t>이번 달</t>
        </is>
      </c>
      <c r="C8" s="3" t="n"/>
      <c r="D8" s="3" t="n"/>
      <c r="E8" s="3" t="n"/>
      <c r="F8" s="3" t="n"/>
      <c r="G8" s="3" t="n"/>
      <c r="H8" s="3" t="n"/>
      <c r="I8" s="3" t="n"/>
    </row>
    <row r="10">
      <c r="B10" s="19" t="inlineStr">
        <is>
          <t>매출</t>
        </is>
      </c>
      <c r="E10" s="19" t="inlineStr">
        <is>
          <t>비용</t>
        </is>
      </c>
      <c r="H10" s="19" t="inlineStr">
        <is>
          <t>순이익</t>
        </is>
      </c>
    </row>
    <row r="11">
      <c r="B11" s="20">
        <f>INDEX(손익계산!$C$9:$N$9,$C$6)</f>
        <v/>
      </c>
      <c r="E11" s="21">
        <f>INDEX(손익계산!$C$10:$N$10,$C$6)</f>
        <v/>
      </c>
      <c r="H11" s="20">
        <f>INDEX(손익계산!$C$12:$N$12,$C$6)</f>
        <v/>
      </c>
    </row>
    <row r="13">
      <c r="B13" s="19" t="inlineStr">
        <is>
          <t>이익률</t>
        </is>
      </c>
      <c r="E13" s="19" t="inlineStr">
        <is>
          <t>원천징수액</t>
        </is>
      </c>
      <c r="H13" s="19" t="inlineStr">
        <is>
          <t>경비 인정분</t>
        </is>
      </c>
    </row>
    <row r="14">
      <c r="B14" s="22">
        <f>INDEX(손익계산!$C$13:$N$13,$C$6)</f>
        <v/>
      </c>
      <c r="E14" s="21">
        <f>INDEX(손익계산!$C$14:$N$14,$C$6)</f>
        <v/>
      </c>
      <c r="H14" s="20">
        <f>INDEX(손익계산!$C$11:$N$11,$C$6)</f>
        <v/>
      </c>
    </row>
    <row r="17" ht="20" customHeight="1">
      <c r="B17" s="3" t="inlineStr">
        <is>
          <t>연간 누계</t>
        </is>
      </c>
      <c r="C17" s="3" t="n"/>
      <c r="D17" s="3" t="n"/>
      <c r="E17" s="3" t="n"/>
      <c r="F17" s="3" t="n"/>
      <c r="G17" s="3" t="n"/>
      <c r="H17" s="3" t="n"/>
      <c r="I17" s="3" t="n"/>
    </row>
    <row r="19">
      <c r="B19" s="19" t="inlineStr">
        <is>
          <t>연 매출</t>
        </is>
      </c>
      <c r="E19" s="19" t="inlineStr">
        <is>
          <t>연 비용</t>
        </is>
      </c>
      <c r="H19" s="19" t="inlineStr">
        <is>
          <t>연 순이익</t>
        </is>
      </c>
    </row>
    <row r="20">
      <c r="B20" s="20">
        <f>손익계산!$O$9</f>
        <v/>
      </c>
      <c r="E20" s="21">
        <f>손익계산!$O$10</f>
        <v/>
      </c>
      <c r="H20" s="20">
        <f>손익계산!$O$12</f>
        <v/>
      </c>
    </row>
    <row r="23">
      <c r="B23" s="7" t="inlineStr">
        <is>
          <t>과세 유형 확인</t>
        </is>
      </c>
    </row>
    <row r="24">
      <c r="B24" s="6">
        <f>IF(손익계산!$O$9&gt;=104000000,"연매출 1억 400만원 이상 → 다음 해 7월 1일부터 일반과세자로 전환됩니다.",IF(손익계산!$O$9&lt;48000000,"연매출 4,800만원 미만 → 간이과세자라면 부가세 납부는 면제됩니다. 신고는 해야 합니다.","간이과세 구간입니다. (1억 400만원 미만)"))</f>
        <v/>
      </c>
    </row>
  </sheetData>
  <dataValidations count="1">
    <dataValidation sqref="C6" showDropDown="0" showInputMessage="0" showErrorMessage="0" allowBlank="1" type="list">
      <formula1>"1,2,3,4,5,6,7,8,9,10,11,12"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D32"/>
  <sheetViews>
    <sheetView showGridLines="0" workbookViewId="0">
      <selection activeCell="A1" sqref="A1"/>
    </sheetView>
  </sheetViews>
  <sheetFormatPr baseColWidth="8" defaultRowHeight="15"/>
  <cols>
    <col width="3" customWidth="1" min="1" max="1"/>
    <col width="30" customWidth="1" min="2" max="2"/>
    <col width="20" customWidth="1" min="3" max="3"/>
    <col width="46" customWidth="1" min="4" max="4"/>
  </cols>
  <sheetData>
    <row r="2" ht="28" customHeight="1">
      <c r="B2" s="1" t="inlineStr">
        <is>
          <t>세금 요약</t>
        </is>
      </c>
    </row>
    <row r="3">
      <c r="B3" s="2" t="inlineStr">
        <is>
          <t>예상액입니다. 실제 신고액은 공제·감면에 따라 달라집니다.</t>
        </is>
      </c>
    </row>
    <row r="4" ht="8" customHeight="1"/>
    <row r="6" ht="20" customHeight="1">
      <c r="B6" s="3" t="inlineStr">
        <is>
          <t>부가가치세 (예상)</t>
        </is>
      </c>
      <c r="C6" s="3" t="n"/>
      <c r="D6" s="3" t="n"/>
    </row>
    <row r="7">
      <c r="B7" t="inlineStr">
        <is>
          <t>매출세액</t>
        </is>
      </c>
      <c r="C7" s="14">
        <f>IF(기본설정!$C$9="일반과세자",SUM(매출!$G$7:$G$506),0)</f>
        <v/>
      </c>
      <c r="D7" s="9" t="inlineStr">
        <is>
          <t>일반과세자만 발생</t>
        </is>
      </c>
    </row>
    <row r="8">
      <c r="B8" t="inlineStr">
        <is>
          <t>매입세액</t>
        </is>
      </c>
      <c r="C8" s="14">
        <f>IF(기본설정!$C$9="일반과세자",SUM(비용!$H$7:$H$506),0)</f>
        <v/>
      </c>
      <c r="D8" s="9" t="inlineStr">
        <is>
          <t>적격증빙(세금계산서·카드) 있는 것만 실제 공제</t>
        </is>
      </c>
    </row>
    <row r="9">
      <c r="B9" t="inlineStr">
        <is>
          <t>일반과세 납부예상</t>
        </is>
      </c>
      <c r="C9" s="15">
        <f>MAX(C7-C8,0)</f>
        <v/>
      </c>
    </row>
    <row r="10">
      <c r="B10" t="inlineStr">
        <is>
          <t>간이과세 납부예상</t>
        </is>
      </c>
      <c r="C10" s="15">
        <f>IF(기본설정!$C$9="간이과세자",IF(손익계산!$O$9&lt;48000000,0,ROUND(손익계산!$O$9*기본설정!$C$16*0.1,0)),0)</f>
        <v/>
      </c>
      <c r="D10" s="9" t="inlineStr">
        <is>
          <t>매출 × 업종별 부가가치율 × 10% / 4,800만원 미만은 납부면제</t>
        </is>
      </c>
    </row>
    <row r="12" ht="20" customHeight="1">
      <c r="B12" s="3" t="inlineStr">
        <is>
          <t>종합소득세 (예상)</t>
        </is>
      </c>
      <c r="C12" s="3" t="n"/>
      <c r="D12" s="3" t="n"/>
    </row>
    <row r="13">
      <c r="B13" t="inlineStr">
        <is>
          <t>사업소득 (순이익)</t>
        </is>
      </c>
      <c r="C13" s="14">
        <f>손익계산!$O$12</f>
        <v/>
      </c>
    </row>
    <row r="14">
      <c r="B14" t="inlineStr">
        <is>
          <t>과세표준 (가정)</t>
        </is>
      </c>
      <c r="C14" s="14">
        <f>MAX(C13-1500000,0)</f>
        <v/>
      </c>
      <c r="D14" s="9" t="inlineStr">
        <is>
          <t>기본공제 150만원만 반영한 단순 가정. 실제는 인적·연금 등 추가 공제 있음</t>
        </is>
      </c>
    </row>
    <row r="15">
      <c r="B15" t="inlineStr">
        <is>
          <t>산출세액</t>
        </is>
      </c>
      <c r="C15" s="15">
        <f>ROUND(IF(C14&lt;=14000000,C14*0.06,IF(C14&lt;=50000000,C14*0.15-1260000,IF(C14&lt;=88000000,C14*0.24-5760000,IF(C14&lt;=150000000,C14*0.35-15440000,IF(C14&lt;=300000000,C14*0.38-19940000,IF(C14&lt;=500000000,C14*0.40-25940000,IF(C14&lt;=1000000000,C14*0.42-35940000,C14*0.45-65940000))))))),0)</f>
        <v/>
      </c>
      <c r="D15" s="9" t="inlineStr">
        <is>
          <t>국세청 세율표 기준 (6%~45%, 누진공제 반영)</t>
        </is>
      </c>
    </row>
    <row r="16">
      <c r="B16" t="inlineStr">
        <is>
          <t>지방소득세 (10%)</t>
        </is>
      </c>
      <c r="C16" s="14">
        <f>ROUND(C15*0.1,0)</f>
        <v/>
      </c>
    </row>
    <row r="17">
      <c r="B17" t="inlineStr">
        <is>
          <t>이미 낸 원천징수액</t>
        </is>
      </c>
      <c r="C17" s="14">
        <f>손익계산!$O$14</f>
        <v/>
      </c>
    </row>
    <row r="18">
      <c r="B18" t="inlineStr">
        <is>
          <t>정산 예상</t>
        </is>
      </c>
      <c r="C18" s="15">
        <f>C15+C16-C17</f>
        <v/>
      </c>
      <c r="D18" s="9" t="inlineStr">
        <is>
          <t>음수면 환급 예상, 양수면 추가 납부 예상</t>
        </is>
      </c>
    </row>
    <row r="20" ht="20" customHeight="1">
      <c r="B20" s="3" t="inlineStr">
        <is>
          <t>신고 일정</t>
        </is>
      </c>
      <c r="C20" s="3" t="n"/>
      <c r="D20" s="3" t="n"/>
    </row>
    <row r="21" ht="26" customHeight="1">
      <c r="B21" s="12" t="inlineStr">
        <is>
          <t>시기</t>
        </is>
      </c>
      <c r="C21" s="12" t="inlineStr">
        <is>
          <t>할 일</t>
        </is>
      </c>
      <c r="D21" s="12" t="inlineStr">
        <is>
          <t>메모</t>
        </is>
      </c>
    </row>
    <row r="22">
      <c r="B22" s="23" t="inlineStr">
        <is>
          <t>1월 25일</t>
        </is>
      </c>
      <c r="C22" s="18" t="inlineStr">
        <is>
          <t>부가세 확정신고</t>
        </is>
      </c>
      <c r="D22" s="18" t="inlineStr">
        <is>
          <t>간이과세자 연 1회 / 일반과세자 2기 확정</t>
        </is>
      </c>
    </row>
    <row r="23">
      <c r="B23" s="23" t="inlineStr">
        <is>
          <t>5월 1일 ~ 6월 1일</t>
        </is>
      </c>
      <c r="C23" s="18" t="inlineStr">
        <is>
          <t>종합소득세 신고</t>
        </is>
      </c>
      <c r="D23" s="18" t="inlineStr">
        <is>
          <t>전년도 소득 대상. 프리랜서 환급도 이때</t>
        </is>
      </c>
    </row>
    <row r="24">
      <c r="B24" s="23" t="inlineStr">
        <is>
          <t>7월 25일</t>
        </is>
      </c>
      <c r="C24" s="18" t="inlineStr">
        <is>
          <t>부가세 확정신고</t>
        </is>
      </c>
      <c r="D24" s="18" t="inlineStr">
        <is>
          <t>일반과세자 1기 확정</t>
        </is>
      </c>
    </row>
    <row r="25">
      <c r="B25" s="23" t="inlineStr">
        <is>
          <t>수시</t>
        </is>
      </c>
      <c r="C25" s="18" t="inlineStr">
        <is>
          <t>지원금 공고 확인</t>
        </is>
      </c>
      <c r="D25" s="18" t="inlineStr">
        <is>
          <t>마감 시각이 16시인 공고가 많습니다</t>
        </is>
      </c>
    </row>
    <row r="28">
      <c r="B28" s="7" t="inlineStr">
        <is>
          <t>출처 및 기준일</t>
        </is>
      </c>
    </row>
    <row r="29">
      <c r="B29" s="9" t="inlineStr">
        <is>
          <t>종합소득세 세율: 국세청 종합소득세 세율표 (1,400만원 이하 6% ~ 10억 초과 45%)</t>
        </is>
      </c>
    </row>
    <row r="30">
      <c r="B30" s="9" t="inlineStr">
        <is>
          <t>간이과세 기준: 연매출 1억 400만원 미만 / 납부면제 4,800만원 미만</t>
        </is>
      </c>
    </row>
    <row r="31">
      <c r="B31" s="9" t="inlineStr">
        <is>
          <t>종합소득세 신고: 2026년 5월 1일 ~ 6월 1일</t>
        </is>
      </c>
    </row>
    <row r="32">
      <c r="B32" s="9" t="inlineStr">
        <is>
          <t>확인일: 2026-07-28. 세법은 바뀝니다. 신고 전 홈택스에서 다시 확인하세요.</t>
        </is>
      </c>
    </row>
  </sheetData>
  <conditionalFormatting sqref="C18">
    <cfRule type="cellIs" priority="1" operator="lessThan" dxfId="0">
      <formula>0</formula>
    </cfRule>
    <cfRule type="cellIs" priority="2" operator="greaterThan" dxfId="1">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B2:F46"/>
  <sheetViews>
    <sheetView showGridLines="0" workbookViewId="0">
      <selection activeCell="A1" sqref="A1"/>
    </sheetView>
  </sheetViews>
  <sheetFormatPr baseColWidth="8" defaultRowHeight="15"/>
  <cols>
    <col width="3" customWidth="1" min="1" max="1"/>
    <col width="26" customWidth="1" min="2" max="2"/>
    <col width="18" customWidth="1" min="3" max="3"/>
    <col width="18" customWidth="1" min="4" max="4"/>
    <col width="18" customWidth="1" min="5" max="5"/>
    <col width="14" customWidth="1" min="6" max="6"/>
  </cols>
  <sheetData>
    <row r="2" ht="28" customHeight="1">
      <c r="B2" s="1" t="inlineStr">
        <is>
          <t>거래처</t>
        </is>
      </c>
    </row>
    <row r="3">
      <c r="B3" s="2" t="inlineStr">
        <is>
          <t>누가 얼마 줬는지, 아직 못 받은 돈이 얼마인지.</t>
        </is>
      </c>
    </row>
    <row r="4" ht="8" customHeight="1"/>
    <row r="6" ht="26" customHeight="1">
      <c r="B6" s="12" t="inlineStr">
        <is>
          <t>거래처명</t>
        </is>
      </c>
      <c r="C6" s="12" t="inlineStr">
        <is>
          <t>총 매출</t>
        </is>
      </c>
      <c r="D6" s="12" t="inlineStr">
        <is>
          <t>입금 완료</t>
        </is>
      </c>
      <c r="E6" s="12" t="inlineStr">
        <is>
          <t>미수금</t>
        </is>
      </c>
      <c r="F6" s="12" t="inlineStr">
        <is>
          <t>건수</t>
        </is>
      </c>
    </row>
    <row r="7">
      <c r="B7" s="8" t="n"/>
      <c r="C7" s="14">
        <f>IF($B7="","",SUMIF(매출!$C$7:$C$506,$B7,매출!$F$7:$F$506))</f>
        <v/>
      </c>
      <c r="D7" s="14">
        <f>IF($B7="","",SUMIFS(매출!$F$7:$F$506,매출!$C$7:$C$506,$B7,매출!$J$7:$J$506,"예"))</f>
        <v/>
      </c>
      <c r="E7" s="15">
        <f>IF($B7="","",C7-D7)</f>
        <v/>
      </c>
      <c r="F7" s="18">
        <f>IF($B7="","",COUNTIF(매출!$C$7:$C$506,$B7))</f>
        <v/>
      </c>
    </row>
    <row r="8">
      <c r="B8" s="8" t="n"/>
      <c r="C8" s="14">
        <f>IF($B8="","",SUMIF(매출!$C$7:$C$506,$B8,매출!$F$7:$F$506))</f>
        <v/>
      </c>
      <c r="D8" s="14">
        <f>IF($B8="","",SUMIFS(매출!$F$7:$F$506,매출!$C$7:$C$506,$B8,매출!$J$7:$J$506,"예"))</f>
        <v/>
      </c>
      <c r="E8" s="15">
        <f>IF($B8="","",C8-D8)</f>
        <v/>
      </c>
      <c r="F8" s="18">
        <f>IF($B8="","",COUNTIF(매출!$C$7:$C$506,$B8))</f>
        <v/>
      </c>
    </row>
    <row r="9">
      <c r="B9" s="8" t="n"/>
      <c r="C9" s="14">
        <f>IF($B9="","",SUMIF(매출!$C$7:$C$506,$B9,매출!$F$7:$F$506))</f>
        <v/>
      </c>
      <c r="D9" s="14">
        <f>IF($B9="","",SUMIFS(매출!$F$7:$F$506,매출!$C$7:$C$506,$B9,매출!$J$7:$J$506,"예"))</f>
        <v/>
      </c>
      <c r="E9" s="15">
        <f>IF($B9="","",C9-D9)</f>
        <v/>
      </c>
      <c r="F9" s="18">
        <f>IF($B9="","",COUNTIF(매출!$C$7:$C$506,$B9))</f>
        <v/>
      </c>
    </row>
    <row r="10">
      <c r="B10" s="8" t="n"/>
      <c r="C10" s="14">
        <f>IF($B10="","",SUMIF(매출!$C$7:$C$506,$B10,매출!$F$7:$F$506))</f>
        <v/>
      </c>
      <c r="D10" s="14">
        <f>IF($B10="","",SUMIFS(매출!$F$7:$F$506,매출!$C$7:$C$506,$B10,매출!$J$7:$J$506,"예"))</f>
        <v/>
      </c>
      <c r="E10" s="15">
        <f>IF($B10="","",C10-D10)</f>
        <v/>
      </c>
      <c r="F10" s="18">
        <f>IF($B10="","",COUNTIF(매출!$C$7:$C$506,$B10))</f>
        <v/>
      </c>
    </row>
    <row r="11">
      <c r="B11" s="8" t="n"/>
      <c r="C11" s="14">
        <f>IF($B11="","",SUMIF(매출!$C$7:$C$506,$B11,매출!$F$7:$F$506))</f>
        <v/>
      </c>
      <c r="D11" s="14">
        <f>IF($B11="","",SUMIFS(매출!$F$7:$F$506,매출!$C$7:$C$506,$B11,매출!$J$7:$J$506,"예"))</f>
        <v/>
      </c>
      <c r="E11" s="15">
        <f>IF($B11="","",C11-D11)</f>
        <v/>
      </c>
      <c r="F11" s="18">
        <f>IF($B11="","",COUNTIF(매출!$C$7:$C$506,$B11))</f>
        <v/>
      </c>
    </row>
    <row r="12">
      <c r="B12" s="8" t="n"/>
      <c r="C12" s="14">
        <f>IF($B12="","",SUMIF(매출!$C$7:$C$506,$B12,매출!$F$7:$F$506))</f>
        <v/>
      </c>
      <c r="D12" s="14">
        <f>IF($B12="","",SUMIFS(매출!$F$7:$F$506,매출!$C$7:$C$506,$B12,매출!$J$7:$J$506,"예"))</f>
        <v/>
      </c>
      <c r="E12" s="15">
        <f>IF($B12="","",C12-D12)</f>
        <v/>
      </c>
      <c r="F12" s="18">
        <f>IF($B12="","",COUNTIF(매출!$C$7:$C$506,$B12))</f>
        <v/>
      </c>
    </row>
    <row r="13">
      <c r="B13" s="8" t="n"/>
      <c r="C13" s="14">
        <f>IF($B13="","",SUMIF(매출!$C$7:$C$506,$B13,매출!$F$7:$F$506))</f>
        <v/>
      </c>
      <c r="D13" s="14">
        <f>IF($B13="","",SUMIFS(매출!$F$7:$F$506,매출!$C$7:$C$506,$B13,매출!$J$7:$J$506,"예"))</f>
        <v/>
      </c>
      <c r="E13" s="15">
        <f>IF($B13="","",C13-D13)</f>
        <v/>
      </c>
      <c r="F13" s="18">
        <f>IF($B13="","",COUNTIF(매출!$C$7:$C$506,$B13))</f>
        <v/>
      </c>
    </row>
    <row r="14">
      <c r="B14" s="8" t="n"/>
      <c r="C14" s="14">
        <f>IF($B14="","",SUMIF(매출!$C$7:$C$506,$B14,매출!$F$7:$F$506))</f>
        <v/>
      </c>
      <c r="D14" s="14">
        <f>IF($B14="","",SUMIFS(매출!$F$7:$F$506,매출!$C$7:$C$506,$B14,매출!$J$7:$J$506,"예"))</f>
        <v/>
      </c>
      <c r="E14" s="15">
        <f>IF($B14="","",C14-D14)</f>
        <v/>
      </c>
      <c r="F14" s="18">
        <f>IF($B14="","",COUNTIF(매출!$C$7:$C$506,$B14))</f>
        <v/>
      </c>
    </row>
    <row r="15">
      <c r="B15" s="8" t="n"/>
      <c r="C15" s="14">
        <f>IF($B15="","",SUMIF(매출!$C$7:$C$506,$B15,매출!$F$7:$F$506))</f>
        <v/>
      </c>
      <c r="D15" s="14">
        <f>IF($B15="","",SUMIFS(매출!$F$7:$F$506,매출!$C$7:$C$506,$B15,매출!$J$7:$J$506,"예"))</f>
        <v/>
      </c>
      <c r="E15" s="15">
        <f>IF($B15="","",C15-D15)</f>
        <v/>
      </c>
      <c r="F15" s="18">
        <f>IF($B15="","",COUNTIF(매출!$C$7:$C$506,$B15))</f>
        <v/>
      </c>
    </row>
    <row r="16">
      <c r="B16" s="8" t="n"/>
      <c r="C16" s="14">
        <f>IF($B16="","",SUMIF(매출!$C$7:$C$506,$B16,매출!$F$7:$F$506))</f>
        <v/>
      </c>
      <c r="D16" s="14">
        <f>IF($B16="","",SUMIFS(매출!$F$7:$F$506,매출!$C$7:$C$506,$B16,매출!$J$7:$J$506,"예"))</f>
        <v/>
      </c>
      <c r="E16" s="15">
        <f>IF($B16="","",C16-D16)</f>
        <v/>
      </c>
      <c r="F16" s="18">
        <f>IF($B16="","",COUNTIF(매출!$C$7:$C$506,$B16))</f>
        <v/>
      </c>
    </row>
    <row r="17">
      <c r="B17" s="8" t="n"/>
      <c r="C17" s="14">
        <f>IF($B17="","",SUMIF(매출!$C$7:$C$506,$B17,매출!$F$7:$F$506))</f>
        <v/>
      </c>
      <c r="D17" s="14">
        <f>IF($B17="","",SUMIFS(매출!$F$7:$F$506,매출!$C$7:$C$506,$B17,매출!$J$7:$J$506,"예"))</f>
        <v/>
      </c>
      <c r="E17" s="15">
        <f>IF($B17="","",C17-D17)</f>
        <v/>
      </c>
      <c r="F17" s="18">
        <f>IF($B17="","",COUNTIF(매출!$C$7:$C$506,$B17))</f>
        <v/>
      </c>
    </row>
    <row r="18">
      <c r="B18" s="8" t="n"/>
      <c r="C18" s="14">
        <f>IF($B18="","",SUMIF(매출!$C$7:$C$506,$B18,매출!$F$7:$F$506))</f>
        <v/>
      </c>
      <c r="D18" s="14">
        <f>IF($B18="","",SUMIFS(매출!$F$7:$F$506,매출!$C$7:$C$506,$B18,매출!$J$7:$J$506,"예"))</f>
        <v/>
      </c>
      <c r="E18" s="15">
        <f>IF($B18="","",C18-D18)</f>
        <v/>
      </c>
      <c r="F18" s="18">
        <f>IF($B18="","",COUNTIF(매출!$C$7:$C$506,$B18))</f>
        <v/>
      </c>
    </row>
    <row r="19">
      <c r="B19" s="8" t="n"/>
      <c r="C19" s="14">
        <f>IF($B19="","",SUMIF(매출!$C$7:$C$506,$B19,매출!$F$7:$F$506))</f>
        <v/>
      </c>
      <c r="D19" s="14">
        <f>IF($B19="","",SUMIFS(매출!$F$7:$F$506,매출!$C$7:$C$506,$B19,매출!$J$7:$J$506,"예"))</f>
        <v/>
      </c>
      <c r="E19" s="15">
        <f>IF($B19="","",C19-D19)</f>
        <v/>
      </c>
      <c r="F19" s="18">
        <f>IF($B19="","",COUNTIF(매출!$C$7:$C$506,$B19))</f>
        <v/>
      </c>
    </row>
    <row r="20">
      <c r="B20" s="8" t="n"/>
      <c r="C20" s="14">
        <f>IF($B20="","",SUMIF(매출!$C$7:$C$506,$B20,매출!$F$7:$F$506))</f>
        <v/>
      </c>
      <c r="D20" s="14">
        <f>IF($B20="","",SUMIFS(매출!$F$7:$F$506,매출!$C$7:$C$506,$B20,매출!$J$7:$J$506,"예"))</f>
        <v/>
      </c>
      <c r="E20" s="15">
        <f>IF($B20="","",C20-D20)</f>
        <v/>
      </c>
      <c r="F20" s="18">
        <f>IF($B20="","",COUNTIF(매출!$C$7:$C$506,$B20))</f>
        <v/>
      </c>
    </row>
    <row r="21">
      <c r="B21" s="8" t="n"/>
      <c r="C21" s="14">
        <f>IF($B21="","",SUMIF(매출!$C$7:$C$506,$B21,매출!$F$7:$F$506))</f>
        <v/>
      </c>
      <c r="D21" s="14">
        <f>IF($B21="","",SUMIFS(매출!$F$7:$F$506,매출!$C$7:$C$506,$B21,매출!$J$7:$J$506,"예"))</f>
        <v/>
      </c>
      <c r="E21" s="15">
        <f>IF($B21="","",C21-D21)</f>
        <v/>
      </c>
      <c r="F21" s="18">
        <f>IF($B21="","",COUNTIF(매출!$C$7:$C$506,$B21))</f>
        <v/>
      </c>
    </row>
    <row r="22">
      <c r="B22" s="8" t="n"/>
      <c r="C22" s="14">
        <f>IF($B22="","",SUMIF(매출!$C$7:$C$506,$B22,매출!$F$7:$F$506))</f>
        <v/>
      </c>
      <c r="D22" s="14">
        <f>IF($B22="","",SUMIFS(매출!$F$7:$F$506,매출!$C$7:$C$506,$B22,매출!$J$7:$J$506,"예"))</f>
        <v/>
      </c>
      <c r="E22" s="15">
        <f>IF($B22="","",C22-D22)</f>
        <v/>
      </c>
      <c r="F22" s="18">
        <f>IF($B22="","",COUNTIF(매출!$C$7:$C$506,$B22))</f>
        <v/>
      </c>
    </row>
    <row r="23">
      <c r="B23" s="8" t="n"/>
      <c r="C23" s="14">
        <f>IF($B23="","",SUMIF(매출!$C$7:$C$506,$B23,매출!$F$7:$F$506))</f>
        <v/>
      </c>
      <c r="D23" s="14">
        <f>IF($B23="","",SUMIFS(매출!$F$7:$F$506,매출!$C$7:$C$506,$B23,매출!$J$7:$J$506,"예"))</f>
        <v/>
      </c>
      <c r="E23" s="15">
        <f>IF($B23="","",C23-D23)</f>
        <v/>
      </c>
      <c r="F23" s="18">
        <f>IF($B23="","",COUNTIF(매출!$C$7:$C$506,$B23))</f>
        <v/>
      </c>
    </row>
    <row r="24">
      <c r="B24" s="8" t="n"/>
      <c r="C24" s="14">
        <f>IF($B24="","",SUMIF(매출!$C$7:$C$506,$B24,매출!$F$7:$F$506))</f>
        <v/>
      </c>
      <c r="D24" s="14">
        <f>IF($B24="","",SUMIFS(매출!$F$7:$F$506,매출!$C$7:$C$506,$B24,매출!$J$7:$J$506,"예"))</f>
        <v/>
      </c>
      <c r="E24" s="15">
        <f>IF($B24="","",C24-D24)</f>
        <v/>
      </c>
      <c r="F24" s="18">
        <f>IF($B24="","",COUNTIF(매출!$C$7:$C$506,$B24))</f>
        <v/>
      </c>
    </row>
    <row r="25">
      <c r="B25" s="8" t="n"/>
      <c r="C25" s="14">
        <f>IF($B25="","",SUMIF(매출!$C$7:$C$506,$B25,매출!$F$7:$F$506))</f>
        <v/>
      </c>
      <c r="D25" s="14">
        <f>IF($B25="","",SUMIFS(매출!$F$7:$F$506,매출!$C$7:$C$506,$B25,매출!$J$7:$J$506,"예"))</f>
        <v/>
      </c>
      <c r="E25" s="15">
        <f>IF($B25="","",C25-D25)</f>
        <v/>
      </c>
      <c r="F25" s="18">
        <f>IF($B25="","",COUNTIF(매출!$C$7:$C$506,$B25))</f>
        <v/>
      </c>
    </row>
    <row r="26">
      <c r="B26" s="8" t="n"/>
      <c r="C26" s="14">
        <f>IF($B26="","",SUMIF(매출!$C$7:$C$506,$B26,매출!$F$7:$F$506))</f>
        <v/>
      </c>
      <c r="D26" s="14">
        <f>IF($B26="","",SUMIFS(매출!$F$7:$F$506,매출!$C$7:$C$506,$B26,매출!$J$7:$J$506,"예"))</f>
        <v/>
      </c>
      <c r="E26" s="15">
        <f>IF($B26="","",C26-D26)</f>
        <v/>
      </c>
      <c r="F26" s="18">
        <f>IF($B26="","",COUNTIF(매출!$C$7:$C$506,$B26))</f>
        <v/>
      </c>
    </row>
    <row r="27">
      <c r="B27" s="8" t="n"/>
      <c r="C27" s="14">
        <f>IF($B27="","",SUMIF(매출!$C$7:$C$506,$B27,매출!$F$7:$F$506))</f>
        <v/>
      </c>
      <c r="D27" s="14">
        <f>IF($B27="","",SUMIFS(매출!$F$7:$F$506,매출!$C$7:$C$506,$B27,매출!$J$7:$J$506,"예"))</f>
        <v/>
      </c>
      <c r="E27" s="15">
        <f>IF($B27="","",C27-D27)</f>
        <v/>
      </c>
      <c r="F27" s="18">
        <f>IF($B27="","",COUNTIF(매출!$C$7:$C$506,$B27))</f>
        <v/>
      </c>
    </row>
    <row r="28">
      <c r="B28" s="8" t="n"/>
      <c r="C28" s="14">
        <f>IF($B28="","",SUMIF(매출!$C$7:$C$506,$B28,매출!$F$7:$F$506))</f>
        <v/>
      </c>
      <c r="D28" s="14">
        <f>IF($B28="","",SUMIFS(매출!$F$7:$F$506,매출!$C$7:$C$506,$B28,매출!$J$7:$J$506,"예"))</f>
        <v/>
      </c>
      <c r="E28" s="15">
        <f>IF($B28="","",C28-D28)</f>
        <v/>
      </c>
      <c r="F28" s="18">
        <f>IF($B28="","",COUNTIF(매출!$C$7:$C$506,$B28))</f>
        <v/>
      </c>
    </row>
    <row r="29">
      <c r="B29" s="8" t="n"/>
      <c r="C29" s="14">
        <f>IF($B29="","",SUMIF(매출!$C$7:$C$506,$B29,매출!$F$7:$F$506))</f>
        <v/>
      </c>
      <c r="D29" s="14">
        <f>IF($B29="","",SUMIFS(매출!$F$7:$F$506,매출!$C$7:$C$506,$B29,매출!$J$7:$J$506,"예"))</f>
        <v/>
      </c>
      <c r="E29" s="15">
        <f>IF($B29="","",C29-D29)</f>
        <v/>
      </c>
      <c r="F29" s="18">
        <f>IF($B29="","",COUNTIF(매출!$C$7:$C$506,$B29))</f>
        <v/>
      </c>
    </row>
    <row r="30">
      <c r="B30" s="8" t="n"/>
      <c r="C30" s="14">
        <f>IF($B30="","",SUMIF(매출!$C$7:$C$506,$B30,매출!$F$7:$F$506))</f>
        <v/>
      </c>
      <c r="D30" s="14">
        <f>IF($B30="","",SUMIFS(매출!$F$7:$F$506,매출!$C$7:$C$506,$B30,매출!$J$7:$J$506,"예"))</f>
        <v/>
      </c>
      <c r="E30" s="15">
        <f>IF($B30="","",C30-D30)</f>
        <v/>
      </c>
      <c r="F30" s="18">
        <f>IF($B30="","",COUNTIF(매출!$C$7:$C$506,$B30))</f>
        <v/>
      </c>
    </row>
    <row r="31">
      <c r="B31" s="8" t="n"/>
      <c r="C31" s="14">
        <f>IF($B31="","",SUMIF(매출!$C$7:$C$506,$B31,매출!$F$7:$F$506))</f>
        <v/>
      </c>
      <c r="D31" s="14">
        <f>IF($B31="","",SUMIFS(매출!$F$7:$F$506,매출!$C$7:$C$506,$B31,매출!$J$7:$J$506,"예"))</f>
        <v/>
      </c>
      <c r="E31" s="15">
        <f>IF($B31="","",C31-D31)</f>
        <v/>
      </c>
      <c r="F31" s="18">
        <f>IF($B31="","",COUNTIF(매출!$C$7:$C$506,$B31))</f>
        <v/>
      </c>
    </row>
    <row r="32">
      <c r="B32" s="8" t="n"/>
      <c r="C32" s="14">
        <f>IF($B32="","",SUMIF(매출!$C$7:$C$506,$B32,매출!$F$7:$F$506))</f>
        <v/>
      </c>
      <c r="D32" s="14">
        <f>IF($B32="","",SUMIFS(매출!$F$7:$F$506,매출!$C$7:$C$506,$B32,매출!$J$7:$J$506,"예"))</f>
        <v/>
      </c>
      <c r="E32" s="15">
        <f>IF($B32="","",C32-D32)</f>
        <v/>
      </c>
      <c r="F32" s="18">
        <f>IF($B32="","",COUNTIF(매출!$C$7:$C$506,$B32))</f>
        <v/>
      </c>
    </row>
    <row r="33">
      <c r="B33" s="8" t="n"/>
      <c r="C33" s="14">
        <f>IF($B33="","",SUMIF(매출!$C$7:$C$506,$B33,매출!$F$7:$F$506))</f>
        <v/>
      </c>
      <c r="D33" s="14">
        <f>IF($B33="","",SUMIFS(매출!$F$7:$F$506,매출!$C$7:$C$506,$B33,매출!$J$7:$J$506,"예"))</f>
        <v/>
      </c>
      <c r="E33" s="15">
        <f>IF($B33="","",C33-D33)</f>
        <v/>
      </c>
      <c r="F33" s="18">
        <f>IF($B33="","",COUNTIF(매출!$C$7:$C$506,$B33))</f>
        <v/>
      </c>
    </row>
    <row r="34">
      <c r="B34" s="8" t="n"/>
      <c r="C34" s="14">
        <f>IF($B34="","",SUMIF(매출!$C$7:$C$506,$B34,매출!$F$7:$F$506))</f>
        <v/>
      </c>
      <c r="D34" s="14">
        <f>IF($B34="","",SUMIFS(매출!$F$7:$F$506,매출!$C$7:$C$506,$B34,매출!$J$7:$J$506,"예"))</f>
        <v/>
      </c>
      <c r="E34" s="15">
        <f>IF($B34="","",C34-D34)</f>
        <v/>
      </c>
      <c r="F34" s="18">
        <f>IF($B34="","",COUNTIF(매출!$C$7:$C$506,$B34))</f>
        <v/>
      </c>
    </row>
    <row r="35">
      <c r="B35" s="8" t="n"/>
      <c r="C35" s="14">
        <f>IF($B35="","",SUMIF(매출!$C$7:$C$506,$B35,매출!$F$7:$F$506))</f>
        <v/>
      </c>
      <c r="D35" s="14">
        <f>IF($B35="","",SUMIFS(매출!$F$7:$F$506,매출!$C$7:$C$506,$B35,매출!$J$7:$J$506,"예"))</f>
        <v/>
      </c>
      <c r="E35" s="15">
        <f>IF($B35="","",C35-D35)</f>
        <v/>
      </c>
      <c r="F35" s="18">
        <f>IF($B35="","",COUNTIF(매출!$C$7:$C$506,$B35))</f>
        <v/>
      </c>
    </row>
    <row r="36">
      <c r="B36" s="8" t="n"/>
      <c r="C36" s="14">
        <f>IF($B36="","",SUMIF(매출!$C$7:$C$506,$B36,매출!$F$7:$F$506))</f>
        <v/>
      </c>
      <c r="D36" s="14">
        <f>IF($B36="","",SUMIFS(매출!$F$7:$F$506,매출!$C$7:$C$506,$B36,매출!$J$7:$J$506,"예"))</f>
        <v/>
      </c>
      <c r="E36" s="15">
        <f>IF($B36="","",C36-D36)</f>
        <v/>
      </c>
      <c r="F36" s="18">
        <f>IF($B36="","",COUNTIF(매출!$C$7:$C$506,$B36))</f>
        <v/>
      </c>
    </row>
    <row r="37">
      <c r="B37" s="8" t="n"/>
      <c r="C37" s="14">
        <f>IF($B37="","",SUMIF(매출!$C$7:$C$506,$B37,매출!$F$7:$F$506))</f>
        <v/>
      </c>
      <c r="D37" s="14">
        <f>IF($B37="","",SUMIFS(매출!$F$7:$F$506,매출!$C$7:$C$506,$B37,매출!$J$7:$J$506,"예"))</f>
        <v/>
      </c>
      <c r="E37" s="15">
        <f>IF($B37="","",C37-D37)</f>
        <v/>
      </c>
      <c r="F37" s="18">
        <f>IF($B37="","",COUNTIF(매출!$C$7:$C$506,$B37))</f>
        <v/>
      </c>
    </row>
    <row r="38">
      <c r="B38" s="8" t="n"/>
      <c r="C38" s="14">
        <f>IF($B38="","",SUMIF(매출!$C$7:$C$506,$B38,매출!$F$7:$F$506))</f>
        <v/>
      </c>
      <c r="D38" s="14">
        <f>IF($B38="","",SUMIFS(매출!$F$7:$F$506,매출!$C$7:$C$506,$B38,매출!$J$7:$J$506,"예"))</f>
        <v/>
      </c>
      <c r="E38" s="15">
        <f>IF($B38="","",C38-D38)</f>
        <v/>
      </c>
      <c r="F38" s="18">
        <f>IF($B38="","",COUNTIF(매출!$C$7:$C$506,$B38))</f>
        <v/>
      </c>
    </row>
    <row r="39">
      <c r="B39" s="8" t="n"/>
      <c r="C39" s="14">
        <f>IF($B39="","",SUMIF(매출!$C$7:$C$506,$B39,매출!$F$7:$F$506))</f>
        <v/>
      </c>
      <c r="D39" s="14">
        <f>IF($B39="","",SUMIFS(매출!$F$7:$F$506,매출!$C$7:$C$506,$B39,매출!$J$7:$J$506,"예"))</f>
        <v/>
      </c>
      <c r="E39" s="15">
        <f>IF($B39="","",C39-D39)</f>
        <v/>
      </c>
      <c r="F39" s="18">
        <f>IF($B39="","",COUNTIF(매출!$C$7:$C$506,$B39))</f>
        <v/>
      </c>
    </row>
    <row r="40">
      <c r="B40" s="8" t="n"/>
      <c r="C40" s="14">
        <f>IF($B40="","",SUMIF(매출!$C$7:$C$506,$B40,매출!$F$7:$F$506))</f>
        <v/>
      </c>
      <c r="D40" s="14">
        <f>IF($B40="","",SUMIFS(매출!$F$7:$F$506,매출!$C$7:$C$506,$B40,매출!$J$7:$J$506,"예"))</f>
        <v/>
      </c>
      <c r="E40" s="15">
        <f>IF($B40="","",C40-D40)</f>
        <v/>
      </c>
      <c r="F40" s="18">
        <f>IF($B40="","",COUNTIF(매출!$C$7:$C$506,$B40))</f>
        <v/>
      </c>
    </row>
    <row r="41">
      <c r="B41" s="8" t="n"/>
      <c r="C41" s="14">
        <f>IF($B41="","",SUMIF(매출!$C$7:$C$506,$B41,매출!$F$7:$F$506))</f>
        <v/>
      </c>
      <c r="D41" s="14">
        <f>IF($B41="","",SUMIFS(매출!$F$7:$F$506,매출!$C$7:$C$506,$B41,매출!$J$7:$J$506,"예"))</f>
        <v/>
      </c>
      <c r="E41" s="15">
        <f>IF($B41="","",C41-D41)</f>
        <v/>
      </c>
      <c r="F41" s="18">
        <f>IF($B41="","",COUNTIF(매출!$C$7:$C$506,$B41))</f>
        <v/>
      </c>
    </row>
    <row r="42">
      <c r="B42" s="8" t="n"/>
      <c r="C42" s="14">
        <f>IF($B42="","",SUMIF(매출!$C$7:$C$506,$B42,매출!$F$7:$F$506))</f>
        <v/>
      </c>
      <c r="D42" s="14">
        <f>IF($B42="","",SUMIFS(매출!$F$7:$F$506,매출!$C$7:$C$506,$B42,매출!$J$7:$J$506,"예"))</f>
        <v/>
      </c>
      <c r="E42" s="15">
        <f>IF($B42="","",C42-D42)</f>
        <v/>
      </c>
      <c r="F42" s="18">
        <f>IF($B42="","",COUNTIF(매출!$C$7:$C$506,$B42))</f>
        <v/>
      </c>
    </row>
    <row r="43">
      <c r="B43" s="8" t="n"/>
      <c r="C43" s="14">
        <f>IF($B43="","",SUMIF(매출!$C$7:$C$506,$B43,매출!$F$7:$F$506))</f>
        <v/>
      </c>
      <c r="D43" s="14">
        <f>IF($B43="","",SUMIFS(매출!$F$7:$F$506,매출!$C$7:$C$506,$B43,매출!$J$7:$J$506,"예"))</f>
        <v/>
      </c>
      <c r="E43" s="15">
        <f>IF($B43="","",C43-D43)</f>
        <v/>
      </c>
      <c r="F43" s="18">
        <f>IF($B43="","",COUNTIF(매출!$C$7:$C$506,$B43))</f>
        <v/>
      </c>
    </row>
    <row r="44">
      <c r="B44" s="8" t="n"/>
      <c r="C44" s="14">
        <f>IF($B44="","",SUMIF(매출!$C$7:$C$506,$B44,매출!$F$7:$F$506))</f>
        <v/>
      </c>
      <c r="D44" s="14">
        <f>IF($B44="","",SUMIFS(매출!$F$7:$F$506,매출!$C$7:$C$506,$B44,매출!$J$7:$J$506,"예"))</f>
        <v/>
      </c>
      <c r="E44" s="15">
        <f>IF($B44="","",C44-D44)</f>
        <v/>
      </c>
      <c r="F44" s="18">
        <f>IF($B44="","",COUNTIF(매출!$C$7:$C$506,$B44))</f>
        <v/>
      </c>
    </row>
    <row r="45">
      <c r="B45" s="8" t="n"/>
      <c r="C45" s="14">
        <f>IF($B45="","",SUMIF(매출!$C$7:$C$506,$B45,매출!$F$7:$F$506))</f>
        <v/>
      </c>
      <c r="D45" s="14">
        <f>IF($B45="","",SUMIFS(매출!$F$7:$F$506,매출!$C$7:$C$506,$B45,매출!$J$7:$J$506,"예"))</f>
        <v/>
      </c>
      <c r="E45" s="15">
        <f>IF($B45="","",C45-D45)</f>
        <v/>
      </c>
      <c r="F45" s="18">
        <f>IF($B45="","",COUNTIF(매출!$C$7:$C$506,$B45))</f>
        <v/>
      </c>
    </row>
    <row r="46">
      <c r="B46" s="8" t="n"/>
      <c r="C46" s="14">
        <f>IF($B46="","",SUMIF(매출!$C$7:$C$506,$B46,매출!$F$7:$F$506))</f>
        <v/>
      </c>
      <c r="D46" s="14">
        <f>IF($B46="","",SUMIFS(매출!$F$7:$F$506,매출!$C$7:$C$506,$B46,매출!$J$7:$J$506,"예"))</f>
        <v/>
      </c>
      <c r="E46" s="15">
        <f>IF($B46="","",C46-D46)</f>
        <v/>
      </c>
      <c r="F46" s="18">
        <f>IF($B46="","",COUNTIF(매출!$C$7:$C$506,$B46))</f>
        <v/>
      </c>
    </row>
  </sheetData>
  <conditionalFormatting sqref="E7:E46">
    <cfRule type="cellIs" priority="1" operator="greaterThan"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2026-07-28T20:21:39Z</dcterms:created>
  <dcterms:modified xmlns:dcterms="http://purl.org/dc/terms/" xmlns:xsi="http://www.w3.org/2001/XMLSchema-instance" xsi:type="dcterms:W3CDTF">2026-07-28T20:21:40Z</dcterms:modified>
</cp:coreProperties>
</file>